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ampyrsolareurope.sharepoint.com/sites/ASECentral/Shared Documents/Group Finance/ASE Finance and Control/United Kingdom/Northwold Solar Farm Limited (NWOSFL)_Bought 20231023/003 Account Receivable/002 Sale Invoice/"/>
    </mc:Choice>
  </mc:AlternateContent>
  <xr:revisionPtr revIDLastSave="816" documentId="8_{6A180923-ECA1-4F23-8E23-823F39A19BCA}" xr6:coauthVersionLast="47" xr6:coauthVersionMax="47" xr10:uidLastSave="{5EBEBB77-DBEC-4481-9BA1-C0195CC1D3A8}"/>
  <bookViews>
    <workbookView xWindow="-120" yWindow="-120" windowWidth="29040" windowHeight="15720" xr2:uid="{FB5AA56D-BD28-4736-AF6E-B8210573DF15}"/>
  </bookViews>
  <sheets>
    <sheet name="REVENU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8" i="2" l="1"/>
  <c r="AC7" i="2"/>
  <c r="AC48" i="2"/>
  <c r="E20" i="2"/>
  <c r="F20" i="2" s="1"/>
  <c r="E21" i="2"/>
  <c r="F21" i="2" s="1"/>
  <c r="E22" i="2"/>
  <c r="F22" i="2"/>
  <c r="G22" i="2"/>
  <c r="E23" i="2"/>
  <c r="F23" i="2"/>
  <c r="G23" i="2"/>
  <c r="AA23" i="2" s="1"/>
  <c r="E24" i="2"/>
  <c r="F24" i="2" s="1"/>
  <c r="E25" i="2"/>
  <c r="F25" i="2" s="1"/>
  <c r="E26" i="2"/>
  <c r="F26" i="2"/>
  <c r="G26" i="2"/>
  <c r="AA26" i="2" s="1"/>
  <c r="E27" i="2"/>
  <c r="F27" i="2"/>
  <c r="G27" i="2"/>
  <c r="AA27" i="2" s="1"/>
  <c r="E28" i="2"/>
  <c r="F28" i="2" s="1"/>
  <c r="E29" i="2"/>
  <c r="F29" i="2" s="1"/>
  <c r="E30" i="2"/>
  <c r="F30" i="2"/>
  <c r="G30" i="2"/>
  <c r="AA30" i="2" s="1"/>
  <c r="E31" i="2"/>
  <c r="F31" i="2"/>
  <c r="G31" i="2"/>
  <c r="AA31" i="2" s="1"/>
  <c r="E32" i="2"/>
  <c r="F32" i="2" s="1"/>
  <c r="E33" i="2"/>
  <c r="F33" i="2" s="1"/>
  <c r="E34" i="2"/>
  <c r="F34" i="2"/>
  <c r="G34" i="2"/>
  <c r="E35" i="2"/>
  <c r="F35" i="2"/>
  <c r="G35" i="2"/>
  <c r="AA35" i="2" s="1"/>
  <c r="E36" i="2"/>
  <c r="F36" i="2" s="1"/>
  <c r="E37" i="2"/>
  <c r="F37" i="2" s="1"/>
  <c r="E38" i="2"/>
  <c r="F38" i="2"/>
  <c r="G38" i="2"/>
  <c r="AA38" i="2" s="1"/>
  <c r="E39" i="2"/>
  <c r="F39" i="2"/>
  <c r="G39" i="2"/>
  <c r="AA39" i="2" s="1"/>
  <c r="E40" i="2"/>
  <c r="F40" i="2" s="1"/>
  <c r="E41" i="2"/>
  <c r="F41" i="2" s="1"/>
  <c r="E42" i="2"/>
  <c r="F42" i="2"/>
  <c r="G42" i="2"/>
  <c r="AA42" i="2" s="1"/>
  <c r="E43" i="2"/>
  <c r="F43" i="2"/>
  <c r="G43" i="2"/>
  <c r="AA43" i="2" s="1"/>
  <c r="E44" i="2"/>
  <c r="F44" i="2" s="1"/>
  <c r="E45" i="2"/>
  <c r="F45" i="2" s="1"/>
  <c r="E46" i="2"/>
  <c r="F46" i="2"/>
  <c r="G46" i="2"/>
  <c r="E47" i="2"/>
  <c r="F47" i="2"/>
  <c r="G47" i="2"/>
  <c r="AA47" i="2" s="1"/>
  <c r="E48" i="2"/>
  <c r="F48" i="2" s="1"/>
  <c r="E49" i="2"/>
  <c r="F49" i="2" s="1"/>
  <c r="E50" i="2"/>
  <c r="F50" i="2"/>
  <c r="G50" i="2"/>
  <c r="E51" i="2"/>
  <c r="F51" i="2"/>
  <c r="G51" i="2"/>
  <c r="E52" i="2"/>
  <c r="F52" i="2" s="1"/>
  <c r="E53" i="2"/>
  <c r="F53" i="2" s="1"/>
  <c r="E54" i="2"/>
  <c r="F54" i="2"/>
  <c r="G54" i="2"/>
  <c r="C48" i="2"/>
  <c r="AE48" i="2"/>
  <c r="F74" i="2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/>
  <c r="C74" i="2"/>
  <c r="AA94" i="2"/>
  <c r="W74" i="2"/>
  <c r="X74" i="2" s="1"/>
  <c r="Y74" i="2" s="1"/>
  <c r="E74" i="2"/>
  <c r="AC11" i="2"/>
  <c r="AC10" i="2"/>
  <c r="AC9" i="2"/>
  <c r="B28" i="2"/>
  <c r="AE28" i="2" s="1"/>
  <c r="AC28" i="2" s="1"/>
  <c r="B33" i="2"/>
  <c r="AE33" i="2" s="1"/>
  <c r="AC33" i="2" s="1"/>
  <c r="B30" i="2"/>
  <c r="AE30" i="2" s="1"/>
  <c r="AC30" i="2" s="1"/>
  <c r="B31" i="2"/>
  <c r="B32" i="2"/>
  <c r="B29" i="2"/>
  <c r="B21" i="2"/>
  <c r="AE21" i="2" s="1"/>
  <c r="AC21" i="2" s="1"/>
  <c r="B22" i="2"/>
  <c r="AE22" i="2" s="1"/>
  <c r="AC22" i="2" s="1"/>
  <c r="B23" i="2"/>
  <c r="B24" i="2"/>
  <c r="B25" i="2"/>
  <c r="B26" i="2"/>
  <c r="B27" i="2"/>
  <c r="AE27" i="2" s="1"/>
  <c r="AC27" i="2" s="1"/>
  <c r="AE29" i="2"/>
  <c r="AC29" i="2" s="1"/>
  <c r="AE31" i="2"/>
  <c r="AC31" i="2" s="1"/>
  <c r="AE32" i="2"/>
  <c r="AC32" i="2" s="1"/>
  <c r="B20" i="2"/>
  <c r="AE23" i="2"/>
  <c r="AC23" i="2" s="1"/>
  <c r="AA22" i="2"/>
  <c r="AE36" i="2"/>
  <c r="AC36" i="2" s="1"/>
  <c r="AE47" i="2"/>
  <c r="AC47" i="2" s="1"/>
  <c r="AE24" i="2"/>
  <c r="AC24" i="2" s="1"/>
  <c r="AE25" i="2"/>
  <c r="AC25" i="2" s="1"/>
  <c r="AE34" i="2"/>
  <c r="AC34" i="2" s="1"/>
  <c r="AE35" i="2"/>
  <c r="AC35" i="2" s="1"/>
  <c r="AE37" i="2"/>
  <c r="AC37" i="2" s="1"/>
  <c r="AE38" i="2"/>
  <c r="AC38" i="2" s="1"/>
  <c r="AE39" i="2"/>
  <c r="AC39" i="2" s="1"/>
  <c r="AE41" i="2"/>
  <c r="AC41" i="2" s="1"/>
  <c r="AE42" i="2"/>
  <c r="AC42" i="2" s="1"/>
  <c r="AE43" i="2"/>
  <c r="AC43" i="2" s="1"/>
  <c r="AE45" i="2"/>
  <c r="AC45" i="2" s="1"/>
  <c r="AA34" i="2"/>
  <c r="AA46" i="2"/>
  <c r="AE46" i="2"/>
  <c r="AC46" i="2" s="1"/>
  <c r="AE44" i="2"/>
  <c r="AC44" i="2" s="1"/>
  <c r="AE40" i="2"/>
  <c r="AC40" i="2" s="1"/>
  <c r="AE26" i="2"/>
  <c r="AC26" i="2" s="1"/>
  <c r="G53" i="2" l="1"/>
  <c r="G49" i="2"/>
  <c r="G45" i="2"/>
  <c r="AA45" i="2" s="1"/>
  <c r="G41" i="2"/>
  <c r="AA41" i="2" s="1"/>
  <c r="G37" i="2"/>
  <c r="AA37" i="2" s="1"/>
  <c r="G33" i="2"/>
  <c r="AA33" i="2" s="1"/>
  <c r="G29" i="2"/>
  <c r="AA29" i="2" s="1"/>
  <c r="G25" i="2"/>
  <c r="AA25" i="2" s="1"/>
  <c r="G21" i="2"/>
  <c r="AA21" i="2" s="1"/>
  <c r="G52" i="2"/>
  <c r="G48" i="2"/>
  <c r="G44" i="2"/>
  <c r="AA44" i="2" s="1"/>
  <c r="G40" i="2"/>
  <c r="AA40" i="2" s="1"/>
  <c r="G36" i="2"/>
  <c r="AA36" i="2" s="1"/>
  <c r="G32" i="2"/>
  <c r="AA32" i="2" s="1"/>
  <c r="G28" i="2"/>
  <c r="AA28" i="2" s="1"/>
  <c r="G24" i="2"/>
  <c r="AA24" i="2" s="1"/>
  <c r="G20" i="2"/>
  <c r="AA20" i="2" s="1"/>
  <c r="G74" i="2"/>
  <c r="AE19" i="2"/>
  <c r="AC19" i="2"/>
  <c r="C19" i="2"/>
  <c r="E19" i="2" s="1"/>
  <c r="C73" i="2"/>
  <c r="E73" i="2" s="1"/>
  <c r="W73" i="2"/>
  <c r="X73" i="2" s="1"/>
  <c r="AC18" i="2"/>
  <c r="C18" i="2"/>
  <c r="E18" i="2" s="1"/>
  <c r="F18" i="2" s="1"/>
  <c r="Y73" i="2" l="1"/>
  <c r="F73" i="2"/>
  <c r="G73" i="2"/>
  <c r="AA73" i="2" s="1"/>
  <c r="F19" i="2"/>
  <c r="G19" i="2" s="1"/>
  <c r="G18" i="2"/>
  <c r="W16" i="2"/>
  <c r="X16" i="2"/>
  <c r="Y16" i="2"/>
  <c r="W17" i="2"/>
  <c r="X17" i="2" s="1"/>
  <c r="W18" i="2"/>
  <c r="W19" i="2"/>
  <c r="W48" i="2"/>
  <c r="X48" i="2" s="1"/>
  <c r="Y48" i="2" s="1"/>
  <c r="W49" i="2"/>
  <c r="X49" i="2" s="1"/>
  <c r="Y49" i="2" s="1"/>
  <c r="W50" i="2"/>
  <c r="X50" i="2" s="1"/>
  <c r="W51" i="2"/>
  <c r="X51" i="2" s="1"/>
  <c r="W52" i="2"/>
  <c r="X52" i="2" s="1"/>
  <c r="Y52" i="2" s="1"/>
  <c r="W53" i="2"/>
  <c r="X53" i="2"/>
  <c r="W54" i="2"/>
  <c r="X54" i="2"/>
  <c r="C72" i="2"/>
  <c r="E72" i="2" s="1"/>
  <c r="F72" i="2" s="1"/>
  <c r="G72" i="2" s="1"/>
  <c r="W72" i="2"/>
  <c r="X72" i="2" s="1"/>
  <c r="Y72" i="2" s="1"/>
  <c r="N16" i="2"/>
  <c r="N17" i="2"/>
  <c r="O17" i="2" s="1"/>
  <c r="P17" i="2" s="1"/>
  <c r="N18" i="2"/>
  <c r="O18" i="2" s="1"/>
  <c r="P18" i="2" s="1"/>
  <c r="N19" i="2"/>
  <c r="O19" i="2" s="1"/>
  <c r="N48" i="2"/>
  <c r="N49" i="2"/>
  <c r="N50" i="2"/>
  <c r="N51" i="2"/>
  <c r="O51" i="2" s="1"/>
  <c r="N52" i="2"/>
  <c r="O52" i="2" s="1"/>
  <c r="N53" i="2"/>
  <c r="O53" i="2" s="1"/>
  <c r="N54" i="2"/>
  <c r="O54" i="2" s="1"/>
  <c r="AE16" i="2"/>
  <c r="C17" i="2"/>
  <c r="E17" i="2" s="1"/>
  <c r="AC17" i="2"/>
  <c r="AC16" i="2"/>
  <c r="C16" i="2"/>
  <c r="E16" i="2" s="1"/>
  <c r="F16" i="2" s="1"/>
  <c r="G16" i="2" s="1"/>
  <c r="C15" i="2"/>
  <c r="E15" i="2" s="1"/>
  <c r="F15" i="2" s="1"/>
  <c r="G15" i="2" s="1"/>
  <c r="AC15" i="2"/>
  <c r="W15" i="2"/>
  <c r="X15" i="2" s="1"/>
  <c r="C71" i="2"/>
  <c r="E71" i="2" s="1"/>
  <c r="F71" i="2" s="1"/>
  <c r="W71" i="2"/>
  <c r="X71" i="2" s="1"/>
  <c r="Y71" i="2" s="1"/>
  <c r="N15" i="2"/>
  <c r="O15" i="2" s="1"/>
  <c r="C14" i="2"/>
  <c r="E14" i="2" s="1"/>
  <c r="AC14" i="2"/>
  <c r="AC70" i="2"/>
  <c r="C70" i="2"/>
  <c r="E70" i="2" s="1"/>
  <c r="W70" i="2"/>
  <c r="X70" i="2" s="1"/>
  <c r="Y70" i="2" s="1"/>
  <c r="N14" i="2"/>
  <c r="O14" i="2" s="1"/>
  <c r="W14" i="2"/>
  <c r="X14" i="2" s="1"/>
  <c r="Y14" i="2" s="1"/>
  <c r="C13" i="2"/>
  <c r="E13" i="2" s="1"/>
  <c r="AC13" i="2"/>
  <c r="AA74" i="2"/>
  <c r="AA75" i="2"/>
  <c r="AA76" i="2"/>
  <c r="AA77" i="2"/>
  <c r="AA78" i="2"/>
  <c r="AA79" i="2"/>
  <c r="AA80" i="2"/>
  <c r="C69" i="2"/>
  <c r="E69" i="2" s="1"/>
  <c r="F69" i="2" s="1"/>
  <c r="W69" i="2"/>
  <c r="X69" i="2" s="1"/>
  <c r="Y69" i="2" s="1"/>
  <c r="N13" i="2"/>
  <c r="O13" i="2" s="1"/>
  <c r="P13" i="2" s="1"/>
  <c r="W13" i="2"/>
  <c r="X13" i="2" s="1"/>
  <c r="C12" i="2"/>
  <c r="E12" i="2" s="1"/>
  <c r="AC12" i="2"/>
  <c r="AC68" i="2"/>
  <c r="C68" i="2"/>
  <c r="E68" i="2" s="1"/>
  <c r="F68" i="2" s="1"/>
  <c r="G68" i="2" s="1"/>
  <c r="W12" i="2"/>
  <c r="X12" i="2" s="1"/>
  <c r="Y12" i="2" s="1"/>
  <c r="N12" i="2"/>
  <c r="O12" i="2" s="1"/>
  <c r="W68" i="2"/>
  <c r="X68" i="2" s="1"/>
  <c r="Y68" i="2" s="1"/>
  <c r="O50" i="2" l="1"/>
  <c r="P50" i="2" s="1"/>
  <c r="AA72" i="2"/>
  <c r="Y53" i="2"/>
  <c r="O49" i="2"/>
  <c r="P49" i="2" s="1"/>
  <c r="AA49" i="2" s="1"/>
  <c r="AA96" i="2" s="1"/>
  <c r="O48" i="2"/>
  <c r="P48" i="2" s="1"/>
  <c r="AA48" i="2" s="1"/>
  <c r="AA95" i="2" s="1"/>
  <c r="Y17" i="2"/>
  <c r="P19" i="2"/>
  <c r="Y50" i="2"/>
  <c r="P53" i="2"/>
  <c r="P51" i="2"/>
  <c r="Y54" i="2"/>
  <c r="O16" i="2"/>
  <c r="P16" i="2" s="1"/>
  <c r="AA16" i="2" s="1"/>
  <c r="X18" i="2"/>
  <c r="Y18" i="2" s="1"/>
  <c r="AA18" i="2" s="1"/>
  <c r="P52" i="2"/>
  <c r="AA52" i="2" s="1"/>
  <c r="P54" i="2"/>
  <c r="Y51" i="2"/>
  <c r="X19" i="2"/>
  <c r="Y19" i="2" s="1"/>
  <c r="F17" i="2"/>
  <c r="G17" i="2" s="1"/>
  <c r="AA17" i="2" s="1"/>
  <c r="Y13" i="2"/>
  <c r="F12" i="2"/>
  <c r="G12" i="2" s="1"/>
  <c r="F13" i="2"/>
  <c r="G13" i="2" s="1"/>
  <c r="Y15" i="2"/>
  <c r="F70" i="2"/>
  <c r="G70" i="2" s="1"/>
  <c r="AA70" i="2" s="1"/>
  <c r="F14" i="2"/>
  <c r="G14" i="2" s="1"/>
  <c r="G69" i="2"/>
  <c r="AA69" i="2" s="1"/>
  <c r="AA68" i="2"/>
  <c r="P15" i="2"/>
  <c r="G71" i="2"/>
  <c r="AA71" i="2" s="1"/>
  <c r="P14" i="2"/>
  <c r="P12" i="2"/>
  <c r="AE6" i="2"/>
  <c r="AE4" i="2"/>
  <c r="AE3" i="2"/>
  <c r="S81" i="2"/>
  <c r="T81" i="2"/>
  <c r="U81" i="2"/>
  <c r="V81" i="2"/>
  <c r="R81" i="2"/>
  <c r="D81" i="2"/>
  <c r="B81" i="2"/>
  <c r="V55" i="2"/>
  <c r="U55" i="2"/>
  <c r="T55" i="2"/>
  <c r="S55" i="2"/>
  <c r="R55" i="2"/>
  <c r="M55" i="2"/>
  <c r="L55" i="2"/>
  <c r="K55" i="2"/>
  <c r="J55" i="2"/>
  <c r="I55" i="2"/>
  <c r="D55" i="2"/>
  <c r="AC67" i="2"/>
  <c r="C10" i="2"/>
  <c r="E10" i="2" s="1"/>
  <c r="F10" i="2" s="1"/>
  <c r="G10" i="2" s="1"/>
  <c r="C3" i="2"/>
  <c r="C11" i="2"/>
  <c r="E11" i="2" s="1"/>
  <c r="N11" i="2"/>
  <c r="W11" i="2"/>
  <c r="X11" i="2" s="1"/>
  <c r="W67" i="2"/>
  <c r="X67" i="2" s="1"/>
  <c r="C67" i="2"/>
  <c r="E67" i="2" s="1"/>
  <c r="AC66" i="2"/>
  <c r="AC65" i="2"/>
  <c r="AC64" i="2"/>
  <c r="AC4" i="2"/>
  <c r="AC5" i="2"/>
  <c r="AC6" i="2"/>
  <c r="AC8" i="2"/>
  <c r="AC3" i="2"/>
  <c r="W66" i="2"/>
  <c r="C66" i="2"/>
  <c r="E66" i="2" s="1"/>
  <c r="F66" i="2" s="1"/>
  <c r="G66" i="2" s="1"/>
  <c r="W65" i="2"/>
  <c r="C65" i="2"/>
  <c r="E65" i="2" s="1"/>
  <c r="W64" i="2"/>
  <c r="C64" i="2"/>
  <c r="W63" i="2"/>
  <c r="C63" i="2"/>
  <c r="E63" i="2" s="1"/>
  <c r="F63" i="2" s="1"/>
  <c r="G63" i="2" s="1"/>
  <c r="W62" i="2"/>
  <c r="E62" i="2"/>
  <c r="W61" i="2"/>
  <c r="X61" i="2" s="1"/>
  <c r="Y61" i="2" s="1"/>
  <c r="E61" i="2"/>
  <c r="W60" i="2"/>
  <c r="E60" i="2"/>
  <c r="W59" i="2"/>
  <c r="X59" i="2" s="1"/>
  <c r="E59" i="2"/>
  <c r="W10" i="2"/>
  <c r="N10" i="2"/>
  <c r="W9" i="2"/>
  <c r="N9" i="2"/>
  <c r="E9" i="2"/>
  <c r="F9" i="2" s="1"/>
  <c r="G9" i="2" s="1"/>
  <c r="W8" i="2"/>
  <c r="N8" i="2"/>
  <c r="E8" i="2"/>
  <c r="W7" i="2"/>
  <c r="X7" i="2" s="1"/>
  <c r="Y7" i="2" s="1"/>
  <c r="N7" i="2"/>
  <c r="E7" i="2"/>
  <c r="W6" i="2"/>
  <c r="X6" i="2" s="1"/>
  <c r="Y6" i="2" s="1"/>
  <c r="N6" i="2"/>
  <c r="E6" i="2"/>
  <c r="W5" i="2"/>
  <c r="N5" i="2"/>
  <c r="E5" i="2"/>
  <c r="W4" i="2"/>
  <c r="N4" i="2"/>
  <c r="E4" i="2"/>
  <c r="F4" i="2" s="1"/>
  <c r="G4" i="2" s="1"/>
  <c r="W3" i="2"/>
  <c r="N3" i="2"/>
  <c r="AA53" i="2" l="1"/>
  <c r="AA50" i="2"/>
  <c r="AA97" i="2" s="1"/>
  <c r="AA19" i="2"/>
  <c r="AA51" i="2"/>
  <c r="AA98" i="2" s="1"/>
  <c r="AA54" i="2"/>
  <c r="AA13" i="2"/>
  <c r="AA90" i="2" s="1"/>
  <c r="AA93" i="2"/>
  <c r="AA15" i="2"/>
  <c r="AA92" i="2" s="1"/>
  <c r="AA12" i="2"/>
  <c r="AC81" i="2"/>
  <c r="AC83" i="2" s="1"/>
  <c r="AA89" i="2"/>
  <c r="AA14" i="2"/>
  <c r="AA91" i="2" s="1"/>
  <c r="C55" i="2"/>
  <c r="W81" i="2"/>
  <c r="C81" i="2"/>
  <c r="W55" i="2"/>
  <c r="N55" i="2"/>
  <c r="Y11" i="2"/>
  <c r="F11" i="2"/>
  <c r="G11" i="2" s="1"/>
  <c r="F67" i="2"/>
  <c r="G67" i="2" s="1"/>
  <c r="Y67" i="2"/>
  <c r="E3" i="2"/>
  <c r="E55" i="2" s="1"/>
  <c r="O11" i="2"/>
  <c r="O5" i="2"/>
  <c r="P5" i="2" s="1"/>
  <c r="X64" i="2"/>
  <c r="Y64" i="2" s="1"/>
  <c r="O10" i="2"/>
  <c r="P10" i="2" s="1"/>
  <c r="F65" i="2"/>
  <c r="G65" i="2" s="1"/>
  <c r="O3" i="2"/>
  <c r="X5" i="2"/>
  <c r="Y5" i="2" s="1"/>
  <c r="F8" i="2"/>
  <c r="G8" i="2" s="1"/>
  <c r="Y59" i="2"/>
  <c r="O4" i="2"/>
  <c r="P4" i="2" s="1"/>
  <c r="F60" i="2"/>
  <c r="G60" i="2" s="1"/>
  <c r="O9" i="2"/>
  <c r="P9" i="2" s="1"/>
  <c r="X63" i="2"/>
  <c r="Y63" i="2" s="1"/>
  <c r="AA63" i="2" s="1"/>
  <c r="X66" i="2"/>
  <c r="Y66" i="2" s="1"/>
  <c r="AA66" i="2" s="1"/>
  <c r="X4" i="2"/>
  <c r="Y4" i="2" s="1"/>
  <c r="F7" i="2"/>
  <c r="G7" i="2" s="1"/>
  <c r="X10" i="2"/>
  <c r="Y10" i="2" s="1"/>
  <c r="F62" i="2"/>
  <c r="G62" i="2" s="1"/>
  <c r="O8" i="2"/>
  <c r="P8" i="2" s="1"/>
  <c r="X60" i="2"/>
  <c r="X3" i="2"/>
  <c r="F6" i="2"/>
  <c r="G6" i="2" s="1"/>
  <c r="X9" i="2"/>
  <c r="Y9" i="2" s="1"/>
  <c r="O7" i="2"/>
  <c r="P7" i="2" s="1"/>
  <c r="F59" i="2"/>
  <c r="X62" i="2"/>
  <c r="Y62" i="2" s="1"/>
  <c r="E64" i="2"/>
  <c r="E81" i="2" s="1"/>
  <c r="X65" i="2"/>
  <c r="Y65" i="2" s="1"/>
  <c r="F5" i="2"/>
  <c r="G5" i="2" s="1"/>
  <c r="X8" i="2"/>
  <c r="Y8" i="2" s="1"/>
  <c r="O6" i="2"/>
  <c r="P6" i="2" s="1"/>
  <c r="F61" i="2"/>
  <c r="G61" i="2" s="1"/>
  <c r="AA61" i="2" s="1"/>
  <c r="Y60" i="2" l="1"/>
  <c r="Y81" i="2" s="1"/>
  <c r="X81" i="2"/>
  <c r="X55" i="2"/>
  <c r="O55" i="2"/>
  <c r="AA7" i="2"/>
  <c r="AA10" i="2"/>
  <c r="F3" i="2"/>
  <c r="AA67" i="2"/>
  <c r="P11" i="2"/>
  <c r="AA4" i="2"/>
  <c r="AA6" i="2"/>
  <c r="AA65" i="2"/>
  <c r="AA8" i="2"/>
  <c r="AA9" i="2"/>
  <c r="P3" i="2"/>
  <c r="AA62" i="2"/>
  <c r="G59" i="2"/>
  <c r="Y3" i="2"/>
  <c r="Y55" i="2" s="1"/>
  <c r="AA5" i="2"/>
  <c r="F64" i="2"/>
  <c r="F81" i="2" s="1"/>
  <c r="AA60" i="2" l="1"/>
  <c r="G3" i="2"/>
  <c r="G55" i="2" s="1"/>
  <c r="F55" i="2"/>
  <c r="P55" i="2"/>
  <c r="AA11" i="2"/>
  <c r="AA86" i="2" s="1"/>
  <c r="G64" i="2"/>
  <c r="AA64" i="2" s="1"/>
  <c r="AA59" i="2"/>
  <c r="AA85" i="2" l="1"/>
  <c r="AA81" i="2"/>
  <c r="G81" i="2"/>
  <c r="AA3" i="2"/>
  <c r="AA55" i="2" s="1"/>
  <c r="AA82" i="2" l="1"/>
  <c r="AA84" i="2" s="1"/>
  <c r="AA87" i="2"/>
  <c r="AA88" i="2" s="1"/>
  <c r="B55" i="2" l="1"/>
  <c r="AE20" i="2"/>
  <c r="AC20" i="2" l="1"/>
  <c r="AC55" i="2" s="1"/>
  <c r="AE55" i="2"/>
  <c r="AF55" i="2" s="1"/>
</calcChain>
</file>

<file path=xl/sharedStrings.xml><?xml version="1.0" encoding="utf-8"?>
<sst xmlns="http://schemas.openxmlformats.org/spreadsheetml/2006/main" count="254" uniqueCount="193">
  <si>
    <t>Generation</t>
  </si>
  <si>
    <t>Auxilliary Supply</t>
  </si>
  <si>
    <t>Solar Supply</t>
  </si>
  <si>
    <t>HARTREE</t>
  </si>
  <si>
    <t>MULTIPLEX</t>
  </si>
  <si>
    <t>PV</t>
  </si>
  <si>
    <t>Reading</t>
  </si>
  <si>
    <t>GDUOS</t>
  </si>
  <si>
    <t>DNO fee</t>
  </si>
  <si>
    <t>Net total</t>
  </si>
  <si>
    <t>VAT</t>
  </si>
  <si>
    <t>Gross</t>
  </si>
  <si>
    <t>Day cost</t>
  </si>
  <si>
    <t>Night cost</t>
  </si>
  <si>
    <t>DUoS capacity charge</t>
  </si>
  <si>
    <t>DNO fixed fee</t>
  </si>
  <si>
    <t>CCL</t>
  </si>
  <si>
    <t>Net Cash due to / (from) Northwold</t>
  </si>
  <si>
    <t>NET REV CONSUMPTION</t>
  </si>
  <si>
    <t>Reading in INV</t>
  </si>
  <si>
    <t>Nwld_Gen_Inv_12</t>
  </si>
  <si>
    <t>SIN2NWOSF01</t>
  </si>
  <si>
    <t>Nwld_Gen_Inv_01</t>
  </si>
  <si>
    <t>Nwld Aux_POW_01</t>
  </si>
  <si>
    <t>Nwld Solar_POW_01</t>
  </si>
  <si>
    <t>SIN2NWOSF02</t>
  </si>
  <si>
    <t>Nwld_Gen_Inv_02</t>
  </si>
  <si>
    <t>Nwld Aux_POW_02</t>
  </si>
  <si>
    <t>Nwld Solar_POW_02</t>
  </si>
  <si>
    <t>SIN2NWOSF03</t>
  </si>
  <si>
    <t>Nwld_Gen_Inv_03</t>
  </si>
  <si>
    <t>Nwld Aux_POW_03</t>
  </si>
  <si>
    <t>Nwld Solar_POW_03</t>
  </si>
  <si>
    <t>SIN2NWOSF04</t>
  </si>
  <si>
    <t>Nwld_Gen_Inv_04</t>
  </si>
  <si>
    <t>Nwld Aux_POW_04</t>
  </si>
  <si>
    <t>Nwld Solar_POW_04</t>
  </si>
  <si>
    <t>SIN2NWOSF05</t>
  </si>
  <si>
    <t>Nwld_Gen_Inv_05</t>
  </si>
  <si>
    <t>Nwld Aux_POW_05</t>
  </si>
  <si>
    <t>Nwld Solar_POW_05</t>
  </si>
  <si>
    <t>SIN2NWOSF06</t>
  </si>
  <si>
    <t>Nwld_Gen_Inv_06</t>
  </si>
  <si>
    <t>Nwld Aux_POW_06</t>
  </si>
  <si>
    <t>Nwld Solar_POW_06</t>
  </si>
  <si>
    <t>Nwld_Gen_Inv_07</t>
  </si>
  <si>
    <t>Nwld Aux_POW_07</t>
  </si>
  <si>
    <t>Nwld Solar_POW_07</t>
  </si>
  <si>
    <t>Nwld_Gen_Inv_08</t>
  </si>
  <si>
    <t>Nwld Aux_POW_08</t>
  </si>
  <si>
    <t>Nwld Solar_POW_08</t>
  </si>
  <si>
    <t>Nwld_Gen_Inv_09</t>
  </si>
  <si>
    <t>Nwld Aux_POW_09</t>
  </si>
  <si>
    <t>Nwld Solar_POW_09</t>
  </si>
  <si>
    <t>Nwld_Gen_Inv_10</t>
  </si>
  <si>
    <t>Nwld Aux_POW_10</t>
  </si>
  <si>
    <t>Nwld Solar_POW_10</t>
  </si>
  <si>
    <t>SIN2NWOSF07</t>
  </si>
  <si>
    <t>Nwld_Solar_Gen_Inv_11</t>
  </si>
  <si>
    <t>Nwld Aux_POW_11</t>
  </si>
  <si>
    <t>Nwld Solar_POW_11</t>
  </si>
  <si>
    <t>SIN2NWOSF08</t>
  </si>
  <si>
    <t>Nwld_Solar_Gen_Inv_12</t>
  </si>
  <si>
    <t>Nwld Aux_POW_12</t>
  </si>
  <si>
    <t>Nwld Solar_POW_12</t>
  </si>
  <si>
    <t>SIN2NWOSF09</t>
  </si>
  <si>
    <t>Nov-25 Corr</t>
  </si>
  <si>
    <t>Nwld_Solar_Gen_Inv_08</t>
  </si>
  <si>
    <t>SIN2NWOSF10</t>
  </si>
  <si>
    <t>Nwld_Solar_Gen_Inv_13</t>
  </si>
  <si>
    <t>Nwld Aux_POW_13</t>
  </si>
  <si>
    <t>Nwld Solar_POW_13</t>
  </si>
  <si>
    <t>SIN2NWOSF11</t>
  </si>
  <si>
    <t>CPI index inc. from £100 &gt; £102.03</t>
  </si>
  <si>
    <t>Nwld_Solar_Gen_Inv_14</t>
  </si>
  <si>
    <t>Nwld Aux_POW_14</t>
  </si>
  <si>
    <t>Nwld Solar_POW_14</t>
  </si>
  <si>
    <t>SIN2NWOSF12</t>
  </si>
  <si>
    <t>CN Mar-25</t>
  </si>
  <si>
    <t>SCN2NWOSF02</t>
  </si>
  <si>
    <t>CN Apr-25</t>
  </si>
  <si>
    <t>CN May-25</t>
  </si>
  <si>
    <t>CN Jun-25</t>
  </si>
  <si>
    <t>CN Jul-25</t>
  </si>
  <si>
    <t>CN Aug-25</t>
  </si>
  <si>
    <t>CN Sep-25</t>
  </si>
  <si>
    <t>CN Oct-25</t>
  </si>
  <si>
    <t>CN Nov-25</t>
  </si>
  <si>
    <t>CN Dec-25</t>
  </si>
  <si>
    <t>CN Jan-26</t>
  </si>
  <si>
    <t>CN Feb-26</t>
  </si>
  <si>
    <t>CN Mar-26</t>
  </si>
  <si>
    <t>CN Apr-26</t>
  </si>
  <si>
    <t>SCN2NWOSF01</t>
  </si>
  <si>
    <t>Revised Mar-25</t>
  </si>
  <si>
    <t>Revised Apr-25</t>
  </si>
  <si>
    <t>Revised May-25</t>
  </si>
  <si>
    <t>Revised Jun-25</t>
  </si>
  <si>
    <t>Revised Jul-25</t>
  </si>
  <si>
    <t>Revised Aug-25</t>
  </si>
  <si>
    <t>Revised Sep-25</t>
  </si>
  <si>
    <t>Revised Oct-25</t>
  </si>
  <si>
    <t>Revised Nov-25</t>
  </si>
  <si>
    <t>Revised Dec-25</t>
  </si>
  <si>
    <t>Revised Jan-26</t>
  </si>
  <si>
    <t>Revised Feb-26</t>
  </si>
  <si>
    <t>Revised Mar-26</t>
  </si>
  <si>
    <t>Revised Apr-26</t>
  </si>
  <si>
    <t>Nwld_Solar_Gen_Inv_15</t>
  </si>
  <si>
    <t>Nwld Aux_POW_15</t>
  </si>
  <si>
    <t>Nwld Solar_POW_15</t>
  </si>
  <si>
    <t>SIN2NWOSF13</t>
  </si>
  <si>
    <t>Nwld_Solar_Gen_Inv_16</t>
  </si>
  <si>
    <t>Nwld Aux_POW_16</t>
  </si>
  <si>
    <t>Nwld Solar_POW_16</t>
  </si>
  <si>
    <t>Nwld_Solar_Gen_Inv_17</t>
  </si>
  <si>
    <t>Nwld Aux_POW_17</t>
  </si>
  <si>
    <t>Nwld Solar_POW_17</t>
  </si>
  <si>
    <t>Nwld_Solar_Gen_Inv_18</t>
  </si>
  <si>
    <t>Nwld Aux_POW_18</t>
  </si>
  <si>
    <t>Nwld Solar_POW_18</t>
  </si>
  <si>
    <t>Nwld_Solar_Gen_Inv_19</t>
  </si>
  <si>
    <t>Nwld Aux_POW_19</t>
  </si>
  <si>
    <t>Nwld Solar_POW_19</t>
  </si>
  <si>
    <t>Nwld_Solar_Gen_Inv_20</t>
  </si>
  <si>
    <t>Nwld Aux_POW_20</t>
  </si>
  <si>
    <t>Nwld Solar_POW_20</t>
  </si>
  <si>
    <t>Nwld_Solar_Gen_Inv_21</t>
  </si>
  <si>
    <t>BESS Supply</t>
  </si>
  <si>
    <t>BESS</t>
  </si>
  <si>
    <t>GDUOS + Triad</t>
  </si>
  <si>
    <t>Red DUoS</t>
  </si>
  <si>
    <t>Amber DUoS</t>
  </si>
  <si>
    <t>Green Duos</t>
  </si>
  <si>
    <t>Capacity charge</t>
  </si>
  <si>
    <t>GRIDBEYOND</t>
  </si>
  <si>
    <t>0</t>
  </si>
  <si>
    <t>Nwld BESS_POW_01</t>
  </si>
  <si>
    <t>Nwld BESS_POW_02</t>
  </si>
  <si>
    <t>Nwld BESS_POW_03</t>
  </si>
  <si>
    <t>Nwld BESS_POW_04</t>
  </si>
  <si>
    <t>Nwld BESS_POW_05</t>
  </si>
  <si>
    <t>Nwld BESS_POW_06</t>
  </si>
  <si>
    <t>Nwld BESS_POW_07</t>
  </si>
  <si>
    <t>Nwld BESS_POW_08</t>
  </si>
  <si>
    <t>Nwld BESS_POW_09</t>
  </si>
  <si>
    <t>Nwld BESS_POW_10</t>
  </si>
  <si>
    <t>Nwld_BESS_Gen_Inv_11</t>
  </si>
  <si>
    <t>Nwld BESS_POW_11</t>
  </si>
  <si>
    <t>Nwld_BESS_Gen_Inv_12</t>
  </si>
  <si>
    <t>Nwld BESS_POW_12</t>
  </si>
  <si>
    <t>Nwld_BESS_Gen_Inv_13</t>
  </si>
  <si>
    <t>Nwld BESS_POW_13</t>
  </si>
  <si>
    <t>Nwld_BESS_Gen_Inv_14</t>
  </si>
  <si>
    <t>Nwld BESS_POW_14</t>
  </si>
  <si>
    <t>Nwld_BESS_Gen_Inv_15</t>
  </si>
  <si>
    <t>Nwld BESS_POW_15</t>
  </si>
  <si>
    <t>Nwld_BESS_Gen_Inv_16</t>
  </si>
  <si>
    <t>Nwld BESS_POW_16</t>
  </si>
  <si>
    <t>Nwld_BESS_Gen_Inv_17</t>
  </si>
  <si>
    <t>Nwld BESS_POW_17</t>
  </si>
  <si>
    <t>Nwld_BESS_Gen_Inv_18</t>
  </si>
  <si>
    <t>Nwld BESS_POW_18</t>
  </si>
  <si>
    <t>Nwld_BESS_Gen_Inv_19</t>
  </si>
  <si>
    <t>Nwld BESS_POW_19</t>
  </si>
  <si>
    <t>Nwld BESS_POW_20</t>
  </si>
  <si>
    <t>1)</t>
  </si>
  <si>
    <t>Apr-Oct netting</t>
  </si>
  <si>
    <t>Nov netting</t>
  </si>
  <si>
    <t>Mar + Oct PV GEN</t>
  </si>
  <si>
    <t>2)</t>
  </si>
  <si>
    <t>Net due to Hartree</t>
  </si>
  <si>
    <t>3)</t>
  </si>
  <si>
    <t>Dec25 net due to Hartree</t>
  </si>
  <si>
    <t>4)</t>
  </si>
  <si>
    <t>Jan26 net due to Hartree</t>
  </si>
  <si>
    <t>5)</t>
  </si>
  <si>
    <t>Feb26 net due to Hartree</t>
  </si>
  <si>
    <t>(TO)/FROM</t>
  </si>
  <si>
    <t>6)</t>
  </si>
  <si>
    <t>Mar26 net due (to)/from Hartree</t>
  </si>
  <si>
    <t>7)</t>
  </si>
  <si>
    <t>Nov25 Corr+Apr26 netting</t>
  </si>
  <si>
    <t>8)</t>
  </si>
  <si>
    <t>May26 net due (to)/from Hartree</t>
  </si>
  <si>
    <t>9)</t>
  </si>
  <si>
    <t>Jun26 net due (to)/from Hartree</t>
  </si>
  <si>
    <t>10)</t>
  </si>
  <si>
    <t>Jul26 net due (to)/from Hartree</t>
  </si>
  <si>
    <t>11)</t>
  </si>
  <si>
    <t>Aug26 net due (to)/from Hartree</t>
  </si>
  <si>
    <t>12)</t>
  </si>
  <si>
    <t>Sep26 net due (to)/from Hartree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</si>
</sst>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* #,##0.00;* \(#,##0.00\);* &quot;-&quot;??_-;_-@"/>
  </numFmts>
  <fonts count="10">
    <font>
      <sz val="9"/>
      <color theme="1"/>
      <name val="Candara"/>
      <family val="2"/>
    </font>
    <font>
      <sz val="9"/>
      <color theme="1"/>
      <name val="Candara"/>
      <family val="2"/>
    </font>
    <font>
      <sz val="8"/>
      <name val="Candara"/>
      <family val="2"/>
    </font>
    <font>
      <sz val="8"/>
      <color theme="1"/>
      <name val="Kalinga"/>
      <family val="2"/>
    </font>
    <font>
      <b/>
      <u val="singleAccounting"/>
      <sz val="8"/>
      <color theme="1"/>
      <name val="Kalinga"/>
      <family val="2"/>
    </font>
    <font>
      <b/>
      <sz val="8"/>
      <color theme="1"/>
      <name val="Kalinga"/>
      <family val="2"/>
    </font>
    <font>
      <b/>
      <sz val="8"/>
      <color rgb="FFFF0000"/>
      <name val="Kalinga"/>
      <family val="2"/>
    </font>
    <font>
      <sz val="8"/>
      <color rgb="FFFF0000"/>
      <name val="Kalinga"/>
      <family val="2"/>
    </font>
    <font>
      <sz val="8"/>
      <name val="Kalinga"/>
      <family val="2"/>
    </font>
    <font>
      <i/>
      <sz val="8"/>
      <color theme="1"/>
      <name val="Kaling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14" fontId="3" fillId="0" borderId="0" xfId="0" applyNumberFormat="1" applyFont="1"/>
    <xf numFmtId="0" fontId="6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0" fontId="3" fillId="0" borderId="0" xfId="0" applyFont="1"/>
    <xf numFmtId="165" fontId="4" fillId="2" borderId="0" xfId="1" applyNumberFormat="1" applyFont="1" applyFill="1" applyAlignment="1">
      <alignment horizontal="right"/>
    </xf>
    <xf numFmtId="165" fontId="3" fillId="0" borderId="0" xfId="1" applyNumberFormat="1" applyFont="1" applyAlignment="1">
      <alignment horizontal="right"/>
    </xf>
    <xf numFmtId="165" fontId="3" fillId="0" borderId="0" xfId="1" applyNumberFormat="1" applyFont="1"/>
    <xf numFmtId="165" fontId="3" fillId="0" borderId="0" xfId="1" applyNumberFormat="1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165" fontId="3" fillId="0" borderId="0" xfId="1" applyNumberFormat="1" applyFont="1" applyFill="1" applyAlignment="1">
      <alignment horizontal="right"/>
    </xf>
    <xf numFmtId="165" fontId="3" fillId="0" borderId="0" xfId="1" applyNumberFormat="1" applyFont="1" applyFill="1"/>
    <xf numFmtId="165" fontId="3" fillId="3" borderId="0" xfId="1" applyNumberFormat="1" applyFont="1" applyFill="1" applyAlignment="1">
      <alignment horizontal="right"/>
    </xf>
    <xf numFmtId="165" fontId="3" fillId="3" borderId="0" xfId="1" applyNumberFormat="1" applyFont="1" applyFill="1"/>
    <xf numFmtId="165" fontId="7" fillId="0" borderId="0" xfId="1" applyNumberFormat="1" applyFont="1" applyAlignment="1">
      <alignment horizontal="right"/>
    </xf>
    <xf numFmtId="165" fontId="8" fillId="0" borderId="0" xfId="1" applyNumberFormat="1" applyFont="1" applyAlignment="1">
      <alignment horizontal="right"/>
    </xf>
    <xf numFmtId="165" fontId="6" fillId="0" borderId="1" xfId="1" applyNumberFormat="1" applyFont="1" applyBorder="1" applyAlignment="1">
      <alignment horizontal="right"/>
    </xf>
    <xf numFmtId="165" fontId="6" fillId="0" borderId="0" xfId="1" applyNumberFormat="1" applyFont="1" applyBorder="1" applyAlignment="1">
      <alignment horizontal="right"/>
    </xf>
    <xf numFmtId="165" fontId="3" fillId="0" borderId="0" xfId="1" applyNumberFormat="1" applyFont="1" applyAlignment="1">
      <alignment wrapText="1"/>
    </xf>
    <xf numFmtId="165" fontId="3" fillId="0" borderId="0" xfId="1" applyNumberFormat="1" applyFont="1" applyBorder="1" applyAlignment="1">
      <alignment horizontal="right" wrapText="1"/>
    </xf>
    <xf numFmtId="165" fontId="3" fillId="0" borderId="0" xfId="1" applyNumberFormat="1" applyFont="1" applyBorder="1" applyAlignment="1">
      <alignment wrapText="1"/>
    </xf>
    <xf numFmtId="165" fontId="7" fillId="0" borderId="0" xfId="1" applyNumberFormat="1" applyFont="1" applyAlignment="1">
      <alignment horizontal="right" wrapText="1"/>
    </xf>
    <xf numFmtId="165" fontId="3" fillId="0" borderId="0" xfId="1" applyNumberFormat="1" applyFont="1" applyFill="1" applyBorder="1" applyAlignment="1">
      <alignment horizontal="right"/>
    </xf>
    <xf numFmtId="165" fontId="3" fillId="0" borderId="0" xfId="1" applyNumberFormat="1" applyFont="1" applyFill="1" applyBorder="1"/>
    <xf numFmtId="165" fontId="3" fillId="0" borderId="0" xfId="1" quotePrefix="1" applyNumberFormat="1" applyFont="1" applyFill="1"/>
    <xf numFmtId="165" fontId="3" fillId="0" borderId="0" xfId="1" applyNumberFormat="1" applyFont="1" applyBorder="1" applyAlignment="1">
      <alignment horizontal="right"/>
    </xf>
    <xf numFmtId="165" fontId="3" fillId="0" borderId="0" xfId="1" applyNumberFormat="1" applyFont="1" applyBorder="1"/>
    <xf numFmtId="165" fontId="5" fillId="0" borderId="0" xfId="1" applyNumberFormat="1" applyFont="1" applyBorder="1" applyAlignment="1">
      <alignment horizontal="right"/>
    </xf>
    <xf numFmtId="0" fontId="7" fillId="0" borderId="0" xfId="0" applyFont="1"/>
    <xf numFmtId="164" fontId="4" fillId="0" borderId="0" xfId="1" applyFont="1" applyAlignment="1">
      <alignment horizontal="right"/>
    </xf>
    <xf numFmtId="164" fontId="5" fillId="0" borderId="0" xfId="1" applyFont="1" applyAlignment="1">
      <alignment horizontal="right"/>
    </xf>
    <xf numFmtId="164" fontId="3" fillId="0" borderId="0" xfId="1" applyFont="1"/>
    <xf numFmtId="17" fontId="3" fillId="0" borderId="0" xfId="0" applyNumberFormat="1" applyFont="1" applyAlignment="1">
      <alignment horizontal="left"/>
    </xf>
    <xf numFmtId="164" fontId="3" fillId="0" borderId="0" xfId="0" applyNumberFormat="1" applyFont="1"/>
    <xf numFmtId="165" fontId="5" fillId="0" borderId="1" xfId="1" applyNumberFormat="1" applyFont="1" applyBorder="1" applyAlignment="1">
      <alignment horizontal="right"/>
    </xf>
    <xf numFmtId="165" fontId="3" fillId="0" borderId="0" xfId="1" applyNumberFormat="1" applyFont="1" applyAlignment="1">
      <alignment horizontal="right" vertical="top" wrapText="1"/>
    </xf>
    <xf numFmtId="165" fontId="9" fillId="0" borderId="0" xfId="1" applyNumberFormat="1" applyFont="1"/>
    <xf numFmtId="165" fontId="7" fillId="4" borderId="0" xfId="1" applyNumberFormat="1" applyFont="1" applyFill="1" applyAlignment="1">
      <alignment horizontal="right"/>
    </xf>
    <xf numFmtId="17" fontId="8" fillId="0" borderId="0" xfId="0" applyNumberFormat="1" applyFont="1" applyAlignment="1">
      <alignment horizontal="left"/>
    </xf>
    <xf numFmtId="164" fontId="8" fillId="0" borderId="0" xfId="1" applyFont="1"/>
    <xf numFmtId="165" fontId="8" fillId="0" borderId="0" xfId="1" applyNumberFormat="1" applyFont="1" applyFill="1" applyAlignment="1">
      <alignment horizontal="right"/>
    </xf>
    <xf numFmtId="165" fontId="8" fillId="0" borderId="0" xfId="1" applyNumberFormat="1" applyFont="1" applyFill="1"/>
    <xf numFmtId="165" fontId="8" fillId="0" borderId="0" xfId="1" applyNumberFormat="1" applyFont="1"/>
    <xf numFmtId="165" fontId="3" fillId="0" borderId="0" xfId="1" applyNumberFormat="1" applyFont="1" applyAlignment="1">
      <alignment horizontal="right" vertical="center" wrapText="1"/>
    </xf>
    <xf numFmtId="43" fontId="3" fillId="0" borderId="0" xfId="0" applyNumberFormat="1" applyFont="1"/>
    <xf numFmtId="0" fontId="8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center"/>
    </xf>
    <xf numFmtId="165" fontId="5" fillId="0" borderId="0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D6B8EB-AF91-47A2-9A3C-DD9D32868BD2}">
  <we:reference id="WA200009404" version="1.0.0.8" store="en-gb" storeType="omex"/>
  <we:alternateReferences>
    <we:reference id="WA200009404" version="1.0.0.8" store="en-gb" storeType="omex"/>
  </we:alternateReferences>
  <we:properties>
    <we:property name="claude.fileId" value="&quot;1a9189bf-6bcf-4b01-9a5f-16a1d88d82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1DDF-538E-46ED-B561-BF377BBBE477}">
  <dimension ref="A1:AG98"/>
  <sheetViews>
    <sheetView tabSelected="1" topLeftCell="N57" zoomScaleNormal="100" workbookViewId="0">
      <selection activeCell="AC75" sqref="AC75"/>
    </sheetView>
  </sheetViews>
  <sheetFormatPr defaultColWidth="9.140625" defaultRowHeight="12.75" outlineLevelRow="1"/>
  <cols>
    <col min="1" max="1" width="14.42578125" style="5" bestFit="1" customWidth="1"/>
    <col min="2" max="2" width="11.28515625" style="33" customWidth="1"/>
    <col min="3" max="7" width="11.28515625" style="7" customWidth="1"/>
    <col min="8" max="8" width="20.42578125" style="8" bestFit="1" customWidth="1"/>
    <col min="9" max="16" width="11.28515625" style="7" customWidth="1"/>
    <col min="17" max="17" width="16.140625" style="8" bestFit="1" customWidth="1"/>
    <col min="18" max="25" width="11.28515625" style="7" customWidth="1"/>
    <col min="26" max="26" width="26" style="8" bestFit="1" customWidth="1"/>
    <col min="27" max="27" width="15.28515625" style="16" customWidth="1"/>
    <col min="28" max="28" width="2.5703125" style="30" customWidth="1"/>
    <col min="29" max="29" width="14.5703125" style="5" customWidth="1"/>
    <col min="30" max="30" width="15.5703125" style="5" bestFit="1" customWidth="1"/>
    <col min="31" max="31" width="10.7109375" style="17" bestFit="1" customWidth="1"/>
    <col min="32" max="32" width="10.7109375" style="5" bestFit="1" customWidth="1"/>
    <col min="33" max="33" width="10.42578125" style="5" bestFit="1" customWidth="1"/>
    <col min="34" max="16384" width="9.140625" style="5"/>
  </cols>
  <sheetData>
    <row r="1" spans="1:32" ht="18">
      <c r="A1" s="1"/>
      <c r="B1" s="31"/>
      <c r="C1" s="48" t="s">
        <v>0</v>
      </c>
      <c r="D1" s="48"/>
      <c r="E1" s="48"/>
      <c r="F1" s="48"/>
      <c r="G1" s="48"/>
      <c r="H1" s="48"/>
      <c r="I1" s="48" t="s">
        <v>1</v>
      </c>
      <c r="J1" s="48"/>
      <c r="K1" s="48"/>
      <c r="L1" s="48"/>
      <c r="M1" s="48"/>
      <c r="N1" s="48"/>
      <c r="O1" s="48"/>
      <c r="P1" s="48"/>
      <c r="Q1" s="48"/>
      <c r="R1" s="48" t="s">
        <v>2</v>
      </c>
      <c r="S1" s="48"/>
      <c r="T1" s="48"/>
      <c r="U1" s="48"/>
      <c r="V1" s="48"/>
      <c r="W1" s="48"/>
      <c r="X1" s="48"/>
      <c r="Y1" s="48"/>
      <c r="Z1" s="48"/>
      <c r="AA1" s="2" t="s">
        <v>3</v>
      </c>
      <c r="AB1" s="3"/>
      <c r="AC1" s="4" t="s">
        <v>4</v>
      </c>
    </row>
    <row r="2" spans="1:32" ht="42">
      <c r="A2" s="6" t="s">
        <v>5</v>
      </c>
      <c r="B2" s="32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I2" s="7" t="s">
        <v>12</v>
      </c>
      <c r="J2" s="7" t="s">
        <v>13</v>
      </c>
      <c r="K2" s="37" t="s">
        <v>14</v>
      </c>
      <c r="L2" s="9" t="s">
        <v>15</v>
      </c>
      <c r="M2" s="7" t="s">
        <v>16</v>
      </c>
      <c r="N2" s="7" t="s">
        <v>9</v>
      </c>
      <c r="O2" s="7" t="s">
        <v>10</v>
      </c>
      <c r="P2" s="7" t="s">
        <v>11</v>
      </c>
      <c r="R2" s="7" t="s">
        <v>12</v>
      </c>
      <c r="S2" s="7" t="s">
        <v>13</v>
      </c>
      <c r="T2" s="9" t="s">
        <v>14</v>
      </c>
      <c r="U2" s="9" t="s">
        <v>15</v>
      </c>
      <c r="V2" s="7" t="s">
        <v>16</v>
      </c>
      <c r="W2" s="7" t="s">
        <v>9</v>
      </c>
      <c r="X2" s="7" t="s">
        <v>10</v>
      </c>
      <c r="Y2" s="7" t="s">
        <v>11</v>
      </c>
      <c r="AA2" s="10" t="s">
        <v>17</v>
      </c>
      <c r="AB2" s="10"/>
      <c r="AC2" s="11" t="s">
        <v>18</v>
      </c>
      <c r="AE2" s="17" t="s">
        <v>19</v>
      </c>
    </row>
    <row r="3" spans="1:32">
      <c r="A3" s="34">
        <v>45717</v>
      </c>
      <c r="B3" s="33">
        <v>5952.4147083899688</v>
      </c>
      <c r="C3" s="12">
        <f>-8.98-2.44-0.85</f>
        <v>-12.27</v>
      </c>
      <c r="D3" s="12">
        <v>87.35</v>
      </c>
      <c r="E3" s="12">
        <f t="shared" ref="E3" si="0">SUM(C3:D3)</f>
        <v>75.08</v>
      </c>
      <c r="F3" s="12">
        <f t="shared" ref="F3" si="1">ROUND(E3*0.2,2)</f>
        <v>15.02</v>
      </c>
      <c r="G3" s="12">
        <f t="shared" ref="G3" si="2">SUM(E3:F3)</f>
        <v>90.1</v>
      </c>
      <c r="H3" s="13" t="s">
        <v>20</v>
      </c>
      <c r="I3" s="14"/>
      <c r="J3" s="14"/>
      <c r="K3" s="14"/>
      <c r="L3" s="14"/>
      <c r="M3" s="14"/>
      <c r="N3" s="14">
        <f>SUM(I3:M3)</f>
        <v>0</v>
      </c>
      <c r="O3" s="14">
        <f t="shared" ref="O3" si="3">ROUND(N3*0.2,2)</f>
        <v>0</v>
      </c>
      <c r="P3" s="14">
        <f t="shared" ref="P3" si="4">SUM(N3:O3)</f>
        <v>0</v>
      </c>
      <c r="Q3" s="15"/>
      <c r="R3" s="14"/>
      <c r="S3" s="14"/>
      <c r="T3" s="14"/>
      <c r="U3" s="14"/>
      <c r="V3" s="14"/>
      <c r="W3" s="14">
        <f>SUM(R3:V3)</f>
        <v>0</v>
      </c>
      <c r="X3" s="14">
        <f t="shared" ref="X3" si="5">ROUND(W3*0.2,2)</f>
        <v>0</v>
      </c>
      <c r="Y3" s="14">
        <f t="shared" ref="Y3" si="6">SUM(W3:X3)</f>
        <v>0</v>
      </c>
      <c r="Z3" s="15"/>
      <c r="AA3" s="16">
        <f>-G3-P3-Y3</f>
        <v>-90.1</v>
      </c>
      <c r="AB3" s="16"/>
      <c r="AC3" s="17">
        <f>+B3*100/1000</f>
        <v>595.24147083899697</v>
      </c>
      <c r="AD3" s="5" t="s">
        <v>21</v>
      </c>
      <c r="AE3" s="17">
        <f>5820.9+937389.5+753449.7+1590176.2</f>
        <v>3286836.3</v>
      </c>
    </row>
    <row r="4" spans="1:32">
      <c r="A4" s="34">
        <v>45748</v>
      </c>
      <c r="B4" s="33">
        <v>947017.79726544383</v>
      </c>
      <c r="C4" s="7">
        <v>-9694.81</v>
      </c>
      <c r="D4" s="7">
        <v>3.58</v>
      </c>
      <c r="E4" s="7">
        <f>SUM(C4:D4)</f>
        <v>-9691.23</v>
      </c>
      <c r="F4" s="7">
        <f>ROUND(E4*0.2,2)</f>
        <v>-1938.25</v>
      </c>
      <c r="G4" s="7">
        <f>SUM(E4:F4)</f>
        <v>-11629.48</v>
      </c>
      <c r="H4" s="8" t="s">
        <v>22</v>
      </c>
      <c r="I4" s="7">
        <v>232.55</v>
      </c>
      <c r="J4" s="7">
        <v>75.709999999999994</v>
      </c>
      <c r="K4" s="7">
        <v>152.69999999999999</v>
      </c>
      <c r="L4" s="7">
        <v>58.43</v>
      </c>
      <c r="M4" s="7">
        <v>19.440000000000001</v>
      </c>
      <c r="N4" s="7">
        <f t="shared" ref="N4:N54" si="7">SUM(I4:M4)</f>
        <v>538.83000000000004</v>
      </c>
      <c r="O4" s="7">
        <f>ROUND(N4*0.2,2)</f>
        <v>107.77</v>
      </c>
      <c r="P4" s="7">
        <f>SUM(N4:O4)</f>
        <v>646.6</v>
      </c>
      <c r="Q4" s="8" t="s">
        <v>23</v>
      </c>
      <c r="R4" s="7">
        <v>173.32</v>
      </c>
      <c r="S4" s="7">
        <v>128.4</v>
      </c>
      <c r="T4" s="7">
        <v>152.69999999999999</v>
      </c>
      <c r="U4" s="7">
        <v>58.43</v>
      </c>
      <c r="V4" s="7">
        <v>19.920000000000002</v>
      </c>
      <c r="W4" s="7">
        <f t="shared" ref="W4:W15" si="8">SUM(R4:V4)</f>
        <v>532.77</v>
      </c>
      <c r="X4" s="7">
        <f>ROUND(W4*0.2,2)</f>
        <v>106.55</v>
      </c>
      <c r="Y4" s="7">
        <f>SUM(W4:X4)</f>
        <v>639.31999999999994</v>
      </c>
      <c r="Z4" s="8" t="s">
        <v>24</v>
      </c>
      <c r="AA4" s="16">
        <f t="shared" ref="AA4:AA54" si="9">-G4-P4-Y4</f>
        <v>10343.56</v>
      </c>
      <c r="AB4" s="16"/>
      <c r="AC4" s="17">
        <f t="shared" ref="AC4:AC17" si="10">+B4*100/1000</f>
        <v>94701.779726544381</v>
      </c>
      <c r="AD4" s="5" t="s">
        <v>25</v>
      </c>
      <c r="AE4" s="17">
        <f>1268345.69+1113863.16+188122.65</f>
        <v>2570331.4999999995</v>
      </c>
    </row>
    <row r="5" spans="1:32">
      <c r="A5" s="34">
        <v>45778</v>
      </c>
      <c r="B5" s="33">
        <v>1393887.3036395484</v>
      </c>
      <c r="C5" s="7">
        <v>-13644.96</v>
      </c>
      <c r="D5" s="7">
        <v>3.7</v>
      </c>
      <c r="E5" s="7">
        <f t="shared" ref="E5:E19" si="11">SUM(C5:D5)</f>
        <v>-13641.259999999998</v>
      </c>
      <c r="F5" s="7">
        <f t="shared" ref="F5:F19" si="12">ROUND(E5*0.2,2)</f>
        <v>-2728.25</v>
      </c>
      <c r="G5" s="7">
        <f t="shared" ref="G5:G19" si="13">SUM(E5:F5)</f>
        <v>-16369.509999999998</v>
      </c>
      <c r="H5" s="8" t="s">
        <v>26</v>
      </c>
      <c r="I5" s="7">
        <v>193.52</v>
      </c>
      <c r="J5" s="7">
        <v>61.06</v>
      </c>
      <c r="K5" s="7">
        <v>157.79</v>
      </c>
      <c r="L5" s="7">
        <v>60.38</v>
      </c>
      <c r="M5" s="7">
        <v>16.03</v>
      </c>
      <c r="N5" s="7">
        <f t="shared" si="7"/>
        <v>488.78</v>
      </c>
      <c r="O5" s="7">
        <f t="shared" ref="O5:O54" si="14">ROUND(N5*0.2,2)</f>
        <v>97.76</v>
      </c>
      <c r="P5" s="7">
        <f t="shared" ref="P5:P54" si="15">SUM(N5:O5)</f>
        <v>586.54</v>
      </c>
      <c r="Q5" s="8" t="s">
        <v>27</v>
      </c>
      <c r="R5" s="7">
        <v>147.6</v>
      </c>
      <c r="S5" s="7">
        <v>103.67</v>
      </c>
      <c r="T5" s="7">
        <v>157.79</v>
      </c>
      <c r="U5" s="7">
        <v>60.38</v>
      </c>
      <c r="V5" s="7">
        <v>16.53</v>
      </c>
      <c r="W5" s="7">
        <f t="shared" si="8"/>
        <v>485.96999999999991</v>
      </c>
      <c r="X5" s="7">
        <f t="shared" ref="X5:X15" si="16">ROUND(W5*0.2,2)</f>
        <v>97.19</v>
      </c>
      <c r="Y5" s="7">
        <f t="shared" ref="Y5:Y15" si="17">SUM(W5:X5)</f>
        <v>583.15999999999985</v>
      </c>
      <c r="Z5" s="8" t="s">
        <v>28</v>
      </c>
      <c r="AA5" s="16">
        <f t="shared" si="9"/>
        <v>15199.809999999998</v>
      </c>
      <c r="AB5" s="16"/>
      <c r="AC5" s="17">
        <f t="shared" si="10"/>
        <v>139388.73036395485</v>
      </c>
      <c r="AD5" s="5" t="s">
        <v>29</v>
      </c>
      <c r="AE5" s="17">
        <v>933789.81</v>
      </c>
    </row>
    <row r="6" spans="1:32">
      <c r="A6" s="34">
        <v>45809</v>
      </c>
      <c r="B6" s="33">
        <v>1278610.3922375715</v>
      </c>
      <c r="C6" s="7">
        <v>-12176.45</v>
      </c>
      <c r="D6" s="7">
        <v>3.58</v>
      </c>
      <c r="E6" s="7">
        <f t="shared" si="11"/>
        <v>-12172.87</v>
      </c>
      <c r="F6" s="7">
        <f t="shared" si="12"/>
        <v>-2434.5700000000002</v>
      </c>
      <c r="G6" s="7">
        <f t="shared" si="13"/>
        <v>-14607.44</v>
      </c>
      <c r="H6" s="8" t="s">
        <v>30</v>
      </c>
      <c r="I6" s="7">
        <v>176.73</v>
      </c>
      <c r="J6" s="7">
        <v>49.4</v>
      </c>
      <c r="K6" s="7">
        <v>152.69999999999999</v>
      </c>
      <c r="L6" s="7">
        <v>58.43</v>
      </c>
      <c r="M6" s="7">
        <v>14.16</v>
      </c>
      <c r="N6" s="7">
        <f t="shared" si="7"/>
        <v>451.42</v>
      </c>
      <c r="O6" s="7">
        <f t="shared" si="14"/>
        <v>90.28</v>
      </c>
      <c r="P6" s="7">
        <f t="shared" si="15"/>
        <v>541.70000000000005</v>
      </c>
      <c r="Q6" s="8" t="s">
        <v>31</v>
      </c>
      <c r="R6" s="7">
        <v>104.76</v>
      </c>
      <c r="S6" s="7">
        <v>73.09</v>
      </c>
      <c r="T6" s="7">
        <v>152.69999999999999</v>
      </c>
      <c r="U6" s="7">
        <v>58.43</v>
      </c>
      <c r="V6" s="7">
        <v>11.7</v>
      </c>
      <c r="W6" s="7">
        <f t="shared" si="8"/>
        <v>400.68</v>
      </c>
      <c r="X6" s="7">
        <f t="shared" si="16"/>
        <v>80.14</v>
      </c>
      <c r="Y6" s="7">
        <f t="shared" si="17"/>
        <v>480.82</v>
      </c>
      <c r="Z6" s="8" t="s">
        <v>32</v>
      </c>
      <c r="AA6" s="16">
        <f t="shared" si="9"/>
        <v>13584.92</v>
      </c>
      <c r="AB6" s="16"/>
      <c r="AC6" s="17">
        <f t="shared" si="10"/>
        <v>127861.03922375715</v>
      </c>
      <c r="AD6" s="5" t="s">
        <v>33</v>
      </c>
      <c r="AE6" s="17">
        <f>507883.39+163679.35</f>
        <v>671562.74</v>
      </c>
    </row>
    <row r="7" spans="1:32">
      <c r="A7" s="34">
        <v>45839</v>
      </c>
      <c r="B7" s="33">
        <v>1272910.837838056</v>
      </c>
      <c r="C7" s="7">
        <v>-13816.75</v>
      </c>
      <c r="D7" s="7">
        <v>3.7</v>
      </c>
      <c r="E7" s="7">
        <f t="shared" si="11"/>
        <v>-13813.05</v>
      </c>
      <c r="F7" s="7">
        <f t="shared" si="12"/>
        <v>-2762.61</v>
      </c>
      <c r="G7" s="7">
        <f t="shared" si="13"/>
        <v>-16575.66</v>
      </c>
      <c r="H7" s="8" t="s">
        <v>34</v>
      </c>
      <c r="I7" s="7">
        <v>476.78</v>
      </c>
      <c r="J7" s="7">
        <v>79.52</v>
      </c>
      <c r="K7" s="7">
        <v>157.79</v>
      </c>
      <c r="L7" s="7">
        <v>60.38</v>
      </c>
      <c r="M7" s="7">
        <v>34.159999999999997</v>
      </c>
      <c r="N7" s="7">
        <f t="shared" si="7"/>
        <v>808.62999999999988</v>
      </c>
      <c r="O7" s="7">
        <f t="shared" si="14"/>
        <v>161.72999999999999</v>
      </c>
      <c r="P7" s="7">
        <f t="shared" si="15"/>
        <v>970.3599999999999</v>
      </c>
      <c r="Q7" s="8" t="s">
        <v>35</v>
      </c>
      <c r="R7" s="7">
        <v>142.68</v>
      </c>
      <c r="S7" s="7">
        <v>101.16</v>
      </c>
      <c r="T7" s="7">
        <v>157.79</v>
      </c>
      <c r="U7" s="7">
        <v>60.38</v>
      </c>
      <c r="V7" s="7">
        <v>16.05</v>
      </c>
      <c r="W7" s="7">
        <f t="shared" si="8"/>
        <v>478.06</v>
      </c>
      <c r="X7" s="7">
        <f t="shared" si="16"/>
        <v>95.61</v>
      </c>
      <c r="Y7" s="7">
        <f t="shared" si="17"/>
        <v>573.66999999999996</v>
      </c>
      <c r="Z7" s="8" t="s">
        <v>36</v>
      </c>
      <c r="AA7" s="16">
        <f>-G7-P7-Y7</f>
        <v>15031.63</v>
      </c>
      <c r="AB7" s="16"/>
      <c r="AC7" s="17">
        <f>+B7*100/1000</f>
        <v>127291.0837838056</v>
      </c>
      <c r="AD7" s="5" t="s">
        <v>37</v>
      </c>
      <c r="AE7" s="17">
        <v>188586.86</v>
      </c>
    </row>
    <row r="8" spans="1:32">
      <c r="A8" s="34">
        <v>45870</v>
      </c>
      <c r="B8" s="33">
        <v>1119239.1594197624</v>
      </c>
      <c r="C8" s="7">
        <v>-9017.49</v>
      </c>
      <c r="D8" s="7">
        <v>3.7</v>
      </c>
      <c r="E8" s="7">
        <f t="shared" si="11"/>
        <v>-9013.7899999999991</v>
      </c>
      <c r="F8" s="7">
        <f t="shared" si="12"/>
        <v>-1802.76</v>
      </c>
      <c r="G8" s="7">
        <f t="shared" si="13"/>
        <v>-10816.55</v>
      </c>
      <c r="H8" s="8" t="s">
        <v>38</v>
      </c>
      <c r="I8" s="7">
        <v>407.51</v>
      </c>
      <c r="J8" s="7">
        <v>99.97</v>
      </c>
      <c r="K8" s="7">
        <v>157.79</v>
      </c>
      <c r="L8" s="7">
        <v>60.38</v>
      </c>
      <c r="M8" s="7">
        <v>31.61</v>
      </c>
      <c r="N8" s="7">
        <f t="shared" si="7"/>
        <v>757.26</v>
      </c>
      <c r="O8" s="7">
        <f t="shared" si="14"/>
        <v>151.44999999999999</v>
      </c>
      <c r="P8" s="7">
        <f t="shared" si="15"/>
        <v>908.71</v>
      </c>
      <c r="Q8" s="8" t="s">
        <v>39</v>
      </c>
      <c r="R8" s="7">
        <v>144.12</v>
      </c>
      <c r="S8" s="7">
        <v>103.78</v>
      </c>
      <c r="T8" s="7">
        <v>157.79</v>
      </c>
      <c r="U8" s="7">
        <v>60.38</v>
      </c>
      <c r="V8" s="7">
        <v>16.34</v>
      </c>
      <c r="W8" s="7">
        <f t="shared" si="8"/>
        <v>482.40999999999997</v>
      </c>
      <c r="X8" s="7">
        <f t="shared" si="16"/>
        <v>96.48</v>
      </c>
      <c r="Y8" s="7">
        <f t="shared" si="17"/>
        <v>578.89</v>
      </c>
      <c r="Z8" s="8" t="s">
        <v>40</v>
      </c>
      <c r="AA8" s="16">
        <f t="shared" si="9"/>
        <v>9328.9500000000007</v>
      </c>
      <c r="AB8" s="16"/>
      <c r="AC8" s="17">
        <f t="shared" si="10"/>
        <v>111923.91594197624</v>
      </c>
      <c r="AD8" s="5" t="s">
        <v>41</v>
      </c>
      <c r="AE8" s="17">
        <v>299330.48</v>
      </c>
    </row>
    <row r="9" spans="1:32">
      <c r="A9" s="34">
        <v>45901</v>
      </c>
      <c r="B9" s="33">
        <v>937019.05477395758</v>
      </c>
      <c r="C9" s="7">
        <v>-8624.32</v>
      </c>
      <c r="D9" s="7">
        <v>3.58</v>
      </c>
      <c r="E9" s="7">
        <f t="shared" si="11"/>
        <v>-8620.74</v>
      </c>
      <c r="F9" s="7">
        <f t="shared" si="12"/>
        <v>-1724.15</v>
      </c>
      <c r="G9" s="7">
        <f t="shared" si="13"/>
        <v>-10344.89</v>
      </c>
      <c r="H9" s="8" t="s">
        <v>42</v>
      </c>
      <c r="I9" s="7">
        <v>602.14</v>
      </c>
      <c r="J9" s="7">
        <v>258.95</v>
      </c>
      <c r="K9" s="7">
        <v>152.69999999999999</v>
      </c>
      <c r="L9" s="7">
        <v>58.43</v>
      </c>
      <c r="M9" s="7">
        <v>55.09</v>
      </c>
      <c r="N9" s="7">
        <f t="shared" si="7"/>
        <v>1127.31</v>
      </c>
      <c r="O9" s="7">
        <f t="shared" si="14"/>
        <v>225.46</v>
      </c>
      <c r="P9" s="7">
        <f t="shared" si="15"/>
        <v>1352.77</v>
      </c>
      <c r="Q9" s="8" t="s">
        <v>43</v>
      </c>
      <c r="R9" s="7">
        <v>191.29</v>
      </c>
      <c r="S9" s="7">
        <v>136.97999999999999</v>
      </c>
      <c r="T9" s="7">
        <v>152.69999999999999</v>
      </c>
      <c r="U9" s="7">
        <v>58.43</v>
      </c>
      <c r="V9" s="7">
        <v>21.63</v>
      </c>
      <c r="W9" s="7">
        <f t="shared" si="8"/>
        <v>561.03</v>
      </c>
      <c r="X9" s="7">
        <f t="shared" si="16"/>
        <v>112.21</v>
      </c>
      <c r="Y9" s="7">
        <f t="shared" si="17"/>
        <v>673.24</v>
      </c>
      <c r="Z9" s="8" t="s">
        <v>44</v>
      </c>
      <c r="AA9" s="16">
        <f t="shared" si="9"/>
        <v>8318.8799999999992</v>
      </c>
      <c r="AB9" s="16"/>
      <c r="AC9" s="17">
        <f>+B9*100/1000</f>
        <v>93701.905477395761</v>
      </c>
      <c r="AF9" s="35"/>
    </row>
    <row r="10" spans="1:32">
      <c r="A10" s="34">
        <v>45931</v>
      </c>
      <c r="B10" s="33">
        <v>507883.38902074512</v>
      </c>
      <c r="C10" s="12">
        <f>-978.12-1781.28-89.5</f>
        <v>-2848.9</v>
      </c>
      <c r="D10" s="12">
        <v>3.7</v>
      </c>
      <c r="E10" s="12">
        <f t="shared" si="11"/>
        <v>-2845.2000000000003</v>
      </c>
      <c r="F10" s="12">
        <f t="shared" si="12"/>
        <v>-569.04</v>
      </c>
      <c r="G10" s="12">
        <f t="shared" si="13"/>
        <v>-3414.2400000000002</v>
      </c>
      <c r="H10" s="13" t="s">
        <v>45</v>
      </c>
      <c r="I10" s="7">
        <v>779.2</v>
      </c>
      <c r="J10" s="7">
        <v>278.89999999999998</v>
      </c>
      <c r="K10" s="7">
        <v>157.79</v>
      </c>
      <c r="L10" s="7">
        <v>60.38</v>
      </c>
      <c r="M10" s="7">
        <v>67.05</v>
      </c>
      <c r="N10" s="7">
        <f t="shared" si="7"/>
        <v>1343.32</v>
      </c>
      <c r="O10" s="7">
        <f t="shared" si="14"/>
        <v>268.66000000000003</v>
      </c>
      <c r="P10" s="7">
        <f t="shared" si="15"/>
        <v>1611.98</v>
      </c>
      <c r="Q10" s="8" t="s">
        <v>46</v>
      </c>
      <c r="R10" s="7">
        <v>242.26</v>
      </c>
      <c r="S10" s="7">
        <v>161.4</v>
      </c>
      <c r="T10" s="7">
        <v>157.79</v>
      </c>
      <c r="U10" s="7">
        <v>60.38</v>
      </c>
      <c r="V10" s="7">
        <v>26.48</v>
      </c>
      <c r="W10" s="7">
        <f t="shared" si="8"/>
        <v>648.30999999999995</v>
      </c>
      <c r="X10" s="7">
        <f t="shared" si="16"/>
        <v>129.66</v>
      </c>
      <c r="Y10" s="7">
        <f t="shared" si="17"/>
        <v>777.96999999999991</v>
      </c>
      <c r="Z10" s="8" t="s">
        <v>47</v>
      </c>
      <c r="AA10" s="16">
        <f>-G10-P10-Y10</f>
        <v>1024.2900000000004</v>
      </c>
      <c r="AB10" s="16"/>
      <c r="AC10" s="17">
        <f>+B10*100/1000</f>
        <v>50788.338902074509</v>
      </c>
    </row>
    <row r="11" spans="1:32">
      <c r="A11" s="34">
        <v>45962</v>
      </c>
      <c r="B11" s="33">
        <v>188586.86</v>
      </c>
      <c r="C11" s="12">
        <f>-3.38-536.78-54.9</f>
        <v>-595.05999999999995</v>
      </c>
      <c r="D11" s="12">
        <v>3.58</v>
      </c>
      <c r="E11" s="12">
        <f t="shared" si="11"/>
        <v>-591.4799999999999</v>
      </c>
      <c r="F11" s="7">
        <f t="shared" si="12"/>
        <v>-118.3</v>
      </c>
      <c r="G11" s="7">
        <f t="shared" si="13"/>
        <v>-709.77999999999986</v>
      </c>
      <c r="H11" s="13" t="s">
        <v>48</v>
      </c>
      <c r="I11" s="7">
        <v>901.28</v>
      </c>
      <c r="J11" s="7">
        <v>366.64</v>
      </c>
      <c r="K11" s="7">
        <v>152.69999999999999</v>
      </c>
      <c r="L11" s="7">
        <v>58.43</v>
      </c>
      <c r="M11" s="7">
        <v>80.88</v>
      </c>
      <c r="N11" s="7">
        <f t="shared" si="7"/>
        <v>1559.9300000000003</v>
      </c>
      <c r="O11" s="7">
        <f t="shared" si="14"/>
        <v>311.99</v>
      </c>
      <c r="P11" s="7">
        <f t="shared" si="15"/>
        <v>1871.9200000000003</v>
      </c>
      <c r="Q11" s="8" t="s">
        <v>49</v>
      </c>
      <c r="R11" s="7">
        <v>264.56</v>
      </c>
      <c r="S11" s="7">
        <v>161.76</v>
      </c>
      <c r="T11" s="7">
        <v>152.69999999999999</v>
      </c>
      <c r="U11" s="7">
        <v>58.43</v>
      </c>
      <c r="V11" s="7">
        <v>27.82</v>
      </c>
      <c r="W11" s="7">
        <f t="shared" si="8"/>
        <v>665.27</v>
      </c>
      <c r="X11" s="7">
        <f t="shared" si="16"/>
        <v>133.05000000000001</v>
      </c>
      <c r="Y11" s="7">
        <f t="shared" si="17"/>
        <v>798.31999999999994</v>
      </c>
      <c r="Z11" s="8" t="s">
        <v>50</v>
      </c>
      <c r="AA11" s="16">
        <f t="shared" si="9"/>
        <v>-1960.4600000000003</v>
      </c>
      <c r="AB11" s="16"/>
      <c r="AC11" s="17">
        <f>+B11*100/1000</f>
        <v>18858.686000000002</v>
      </c>
    </row>
    <row r="12" spans="1:32">
      <c r="A12" s="34">
        <v>45992</v>
      </c>
      <c r="B12" s="33">
        <v>299330.48</v>
      </c>
      <c r="C12" s="12">
        <f>-1140.55-47.24</f>
        <v>-1187.79</v>
      </c>
      <c r="D12" s="12">
        <v>3.7</v>
      </c>
      <c r="E12" s="12">
        <f t="shared" si="11"/>
        <v>-1184.0899999999999</v>
      </c>
      <c r="F12" s="7">
        <f t="shared" si="12"/>
        <v>-236.82</v>
      </c>
      <c r="G12" s="7">
        <f t="shared" si="13"/>
        <v>-1420.9099999999999</v>
      </c>
      <c r="H12" s="13" t="s">
        <v>51</v>
      </c>
      <c r="I12" s="7">
        <v>943.26</v>
      </c>
      <c r="J12" s="7">
        <v>372.34</v>
      </c>
      <c r="K12" s="7">
        <v>157.79</v>
      </c>
      <c r="L12" s="7">
        <v>60.38</v>
      </c>
      <c r="M12" s="7">
        <v>83.79</v>
      </c>
      <c r="N12" s="7">
        <f t="shared" si="7"/>
        <v>1617.56</v>
      </c>
      <c r="O12" s="7">
        <f t="shared" si="14"/>
        <v>323.51</v>
      </c>
      <c r="P12" s="7">
        <f t="shared" si="15"/>
        <v>1941.07</v>
      </c>
      <c r="Q12" s="8" t="s">
        <v>52</v>
      </c>
      <c r="R12" s="7">
        <v>317.18</v>
      </c>
      <c r="S12" s="7">
        <v>176.97</v>
      </c>
      <c r="T12" s="7">
        <v>157.79</v>
      </c>
      <c r="U12" s="7">
        <v>60.38</v>
      </c>
      <c r="V12" s="7">
        <v>32.08</v>
      </c>
      <c r="W12" s="7">
        <f t="shared" si="8"/>
        <v>744.4</v>
      </c>
      <c r="X12" s="7">
        <f t="shared" si="16"/>
        <v>148.88</v>
      </c>
      <c r="Y12" s="7">
        <f t="shared" si="17"/>
        <v>893.28</v>
      </c>
      <c r="Z12" s="8" t="s">
        <v>53</v>
      </c>
      <c r="AA12" s="16">
        <f t="shared" si="9"/>
        <v>-1413.44</v>
      </c>
      <c r="AB12" s="16"/>
      <c r="AC12" s="17">
        <f t="shared" si="10"/>
        <v>29933.047999999999</v>
      </c>
    </row>
    <row r="13" spans="1:32">
      <c r="A13" s="34">
        <v>46023</v>
      </c>
      <c r="B13" s="33">
        <v>301192.5</v>
      </c>
      <c r="C13" s="12">
        <f>-16.66-910.94-81.38</f>
        <v>-1008.98</v>
      </c>
      <c r="D13" s="12">
        <v>3.7</v>
      </c>
      <c r="E13" s="12">
        <f t="shared" si="11"/>
        <v>-1005.28</v>
      </c>
      <c r="F13" s="7">
        <f t="shared" si="12"/>
        <v>-201.06</v>
      </c>
      <c r="G13" s="7">
        <f t="shared" si="13"/>
        <v>-1206.3399999999999</v>
      </c>
      <c r="H13" s="13" t="s">
        <v>54</v>
      </c>
      <c r="I13" s="7">
        <v>1108.25</v>
      </c>
      <c r="J13" s="7">
        <v>415.47</v>
      </c>
      <c r="K13" s="7">
        <v>157.79</v>
      </c>
      <c r="L13" s="7">
        <v>60.38</v>
      </c>
      <c r="M13" s="7">
        <v>96.79</v>
      </c>
      <c r="N13" s="7">
        <f t="shared" si="7"/>
        <v>1838.68</v>
      </c>
      <c r="O13" s="7">
        <f t="shared" si="14"/>
        <v>367.74</v>
      </c>
      <c r="P13" s="7">
        <f t="shared" si="15"/>
        <v>2206.42</v>
      </c>
      <c r="Q13" s="8" t="s">
        <v>55</v>
      </c>
      <c r="R13" s="7">
        <v>317.24</v>
      </c>
      <c r="S13" s="7">
        <v>187.4</v>
      </c>
      <c r="T13" s="7">
        <v>157.79</v>
      </c>
      <c r="U13" s="7">
        <v>60.38</v>
      </c>
      <c r="V13" s="7">
        <v>32.869999999999997</v>
      </c>
      <c r="W13" s="7">
        <f t="shared" si="8"/>
        <v>755.68</v>
      </c>
      <c r="X13" s="7">
        <f t="shared" si="16"/>
        <v>151.13999999999999</v>
      </c>
      <c r="Y13" s="7">
        <f t="shared" si="17"/>
        <v>906.81999999999994</v>
      </c>
      <c r="Z13" s="8" t="s">
        <v>56</v>
      </c>
      <c r="AA13" s="16">
        <f t="shared" ref="AA13:AA18" si="18">-G13-P13-Y13</f>
        <v>-1906.9</v>
      </c>
      <c r="AB13" s="16"/>
      <c r="AC13" s="17">
        <f t="shared" si="10"/>
        <v>30119.25</v>
      </c>
      <c r="AD13" s="5" t="s">
        <v>57</v>
      </c>
      <c r="AE13" s="17">
        <v>301192.5</v>
      </c>
    </row>
    <row r="14" spans="1:32">
      <c r="A14" s="34">
        <v>46054</v>
      </c>
      <c r="B14" s="33">
        <v>342055.46</v>
      </c>
      <c r="C14" s="12">
        <f>-279.29-1095.52-81.67</f>
        <v>-1456.48</v>
      </c>
      <c r="D14" s="12">
        <v>3.34</v>
      </c>
      <c r="E14" s="12">
        <f t="shared" si="11"/>
        <v>-1453.14</v>
      </c>
      <c r="F14" s="7">
        <f t="shared" si="12"/>
        <v>-290.63</v>
      </c>
      <c r="G14" s="7">
        <f t="shared" si="13"/>
        <v>-1743.77</v>
      </c>
      <c r="H14" s="13" t="s">
        <v>58</v>
      </c>
      <c r="I14" s="7">
        <v>848.73</v>
      </c>
      <c r="J14" s="7">
        <v>293.64999999999998</v>
      </c>
      <c r="K14" s="7">
        <v>142.52000000000001</v>
      </c>
      <c r="L14" s="7">
        <v>54.53</v>
      </c>
      <c r="M14" s="7">
        <v>72.27</v>
      </c>
      <c r="N14" s="7">
        <f t="shared" si="7"/>
        <v>1411.7</v>
      </c>
      <c r="O14" s="7">
        <f t="shared" si="14"/>
        <v>282.33999999999997</v>
      </c>
      <c r="P14" s="7">
        <f t="shared" si="15"/>
        <v>1694.04</v>
      </c>
      <c r="Q14" s="8" t="s">
        <v>59</v>
      </c>
      <c r="R14" s="7">
        <v>241.08</v>
      </c>
      <c r="S14" s="7">
        <v>166.79</v>
      </c>
      <c r="T14" s="7">
        <v>142.52000000000001</v>
      </c>
      <c r="U14" s="7">
        <v>54.53</v>
      </c>
      <c r="V14" s="7">
        <v>26.81</v>
      </c>
      <c r="W14" s="7">
        <f t="shared" si="8"/>
        <v>631.7299999999999</v>
      </c>
      <c r="X14" s="7">
        <f t="shared" si="16"/>
        <v>126.35</v>
      </c>
      <c r="Y14" s="7">
        <f t="shared" si="17"/>
        <v>758.07999999999993</v>
      </c>
      <c r="Z14" s="8" t="s">
        <v>60</v>
      </c>
      <c r="AA14" s="16">
        <f t="shared" si="18"/>
        <v>-708.34999999999991</v>
      </c>
      <c r="AB14" s="16"/>
      <c r="AC14" s="17">
        <f t="shared" si="10"/>
        <v>34205.546000000002</v>
      </c>
      <c r="AD14" s="5" t="s">
        <v>61</v>
      </c>
      <c r="AE14" s="17">
        <v>342055.46</v>
      </c>
    </row>
    <row r="15" spans="1:32">
      <c r="A15" s="34">
        <v>46082</v>
      </c>
      <c r="B15" s="33">
        <v>1042927.5</v>
      </c>
      <c r="C15" s="12">
        <f>-2086.72-3492.42-202.36</f>
        <v>-5781.4999999999991</v>
      </c>
      <c r="D15" s="12">
        <v>3.7</v>
      </c>
      <c r="E15" s="12">
        <f t="shared" si="11"/>
        <v>-5777.7999999999993</v>
      </c>
      <c r="F15" s="7">
        <f t="shared" si="12"/>
        <v>-1155.56</v>
      </c>
      <c r="G15" s="7">
        <f t="shared" si="13"/>
        <v>-6933.3599999999988</v>
      </c>
      <c r="H15" s="13" t="s">
        <v>62</v>
      </c>
      <c r="I15" s="7">
        <v>789.76</v>
      </c>
      <c r="J15" s="7">
        <v>351.99</v>
      </c>
      <c r="K15" s="7">
        <v>157.79</v>
      </c>
      <c r="L15" s="7">
        <v>60.38</v>
      </c>
      <c r="M15" s="7">
        <v>73.19</v>
      </c>
      <c r="N15" s="7">
        <f t="shared" si="7"/>
        <v>1433.1100000000001</v>
      </c>
      <c r="O15" s="7">
        <f t="shared" si="14"/>
        <v>286.62</v>
      </c>
      <c r="P15" s="7">
        <f t="shared" si="15"/>
        <v>1719.73</v>
      </c>
      <c r="Q15" s="8" t="s">
        <v>63</v>
      </c>
      <c r="R15" s="7">
        <v>207.89</v>
      </c>
      <c r="S15" s="7">
        <v>165.25</v>
      </c>
      <c r="T15" s="7">
        <v>157.79</v>
      </c>
      <c r="U15" s="7">
        <v>60.38</v>
      </c>
      <c r="V15" s="7">
        <v>24.74</v>
      </c>
      <c r="W15" s="7">
        <f t="shared" si="8"/>
        <v>616.04999999999995</v>
      </c>
      <c r="X15" s="7">
        <f t="shared" si="16"/>
        <v>123.21</v>
      </c>
      <c r="Y15" s="7">
        <f t="shared" si="17"/>
        <v>739.26</v>
      </c>
      <c r="Z15" s="8" t="s">
        <v>64</v>
      </c>
      <c r="AA15" s="16">
        <f t="shared" si="18"/>
        <v>4474.369999999999</v>
      </c>
      <c r="AB15" s="16"/>
      <c r="AC15" s="17">
        <f t="shared" si="10"/>
        <v>104292.75</v>
      </c>
      <c r="AD15" s="5" t="s">
        <v>65</v>
      </c>
      <c r="AE15" s="17">
        <v>1042927.5</v>
      </c>
    </row>
    <row r="16" spans="1:32" s="30" customFormat="1" ht="13.5" customHeight="1">
      <c r="A16" s="40" t="s">
        <v>66</v>
      </c>
      <c r="B16" s="41">
        <v>-188586.9</v>
      </c>
      <c r="C16" s="42">
        <f>3.38+536.78+54.9</f>
        <v>595.05999999999995</v>
      </c>
      <c r="D16" s="42">
        <v>-3.58</v>
      </c>
      <c r="E16" s="42">
        <f t="shared" si="11"/>
        <v>591.4799999999999</v>
      </c>
      <c r="F16" s="17">
        <f t="shared" si="12"/>
        <v>118.3</v>
      </c>
      <c r="G16" s="17">
        <f t="shared" si="13"/>
        <v>709.77999999999986</v>
      </c>
      <c r="H16" s="43" t="s">
        <v>67</v>
      </c>
      <c r="I16" s="17"/>
      <c r="J16" s="17"/>
      <c r="K16" s="17"/>
      <c r="L16" s="17"/>
      <c r="M16" s="17"/>
      <c r="N16" s="7">
        <f t="shared" si="7"/>
        <v>0</v>
      </c>
      <c r="O16" s="7">
        <f t="shared" si="14"/>
        <v>0</v>
      </c>
      <c r="P16" s="7">
        <f t="shared" si="15"/>
        <v>0</v>
      </c>
      <c r="Q16" s="44"/>
      <c r="R16" s="17"/>
      <c r="S16" s="17"/>
      <c r="T16" s="17"/>
      <c r="U16" s="17"/>
      <c r="V16" s="17"/>
      <c r="W16" s="7">
        <f t="shared" ref="W16:W54" si="19">SUM(R16:V16)</f>
        <v>0</v>
      </c>
      <c r="X16" s="7">
        <f t="shared" ref="X16:X54" si="20">ROUND(W16*0.2,2)</f>
        <v>0</v>
      </c>
      <c r="Y16" s="7">
        <f t="shared" ref="Y16:Y54" si="21">SUM(W16:X16)</f>
        <v>0</v>
      </c>
      <c r="Z16" s="44"/>
      <c r="AA16" s="16">
        <f t="shared" si="18"/>
        <v>-709.77999999999986</v>
      </c>
      <c r="AB16" s="17"/>
      <c r="AC16" s="17">
        <f t="shared" si="10"/>
        <v>-18858.689999999999</v>
      </c>
      <c r="AD16" s="47" t="s">
        <v>68</v>
      </c>
      <c r="AE16" s="17">
        <f>+B16+B17</f>
        <v>168410.69999999998</v>
      </c>
    </row>
    <row r="17" spans="1:32" s="30" customFormat="1">
      <c r="A17" s="40" t="s">
        <v>66</v>
      </c>
      <c r="B17" s="41">
        <v>356997.6</v>
      </c>
      <c r="C17" s="42">
        <f>-3.65-1181.9-80.54</f>
        <v>-1266.0900000000001</v>
      </c>
      <c r="D17" s="42">
        <v>3.58</v>
      </c>
      <c r="E17" s="42">
        <f t="shared" si="11"/>
        <v>-1262.5100000000002</v>
      </c>
      <c r="F17" s="17">
        <f t="shared" si="12"/>
        <v>-252.5</v>
      </c>
      <c r="G17" s="17">
        <f t="shared" si="13"/>
        <v>-1515.0100000000002</v>
      </c>
      <c r="H17" s="43" t="s">
        <v>67</v>
      </c>
      <c r="I17" s="17"/>
      <c r="J17" s="17"/>
      <c r="K17" s="17"/>
      <c r="L17" s="17"/>
      <c r="M17" s="17"/>
      <c r="N17" s="7">
        <f t="shared" si="7"/>
        <v>0</v>
      </c>
      <c r="O17" s="7">
        <f t="shared" si="14"/>
        <v>0</v>
      </c>
      <c r="P17" s="7">
        <f t="shared" si="15"/>
        <v>0</v>
      </c>
      <c r="Q17" s="44"/>
      <c r="R17" s="17"/>
      <c r="S17" s="17"/>
      <c r="T17" s="17"/>
      <c r="U17" s="17"/>
      <c r="V17" s="17"/>
      <c r="W17" s="7">
        <f t="shared" si="19"/>
        <v>0</v>
      </c>
      <c r="X17" s="7">
        <f t="shared" si="20"/>
        <v>0</v>
      </c>
      <c r="Y17" s="7">
        <f t="shared" si="21"/>
        <v>0</v>
      </c>
      <c r="Z17" s="44"/>
      <c r="AA17" s="16">
        <f t="shared" si="18"/>
        <v>1515.0100000000002</v>
      </c>
      <c r="AB17" s="17"/>
      <c r="AC17" s="17">
        <f t="shared" si="10"/>
        <v>35699.760000000002</v>
      </c>
      <c r="AD17" s="47"/>
      <c r="AE17" s="17"/>
    </row>
    <row r="18" spans="1:32">
      <c r="A18" s="34">
        <v>46113</v>
      </c>
      <c r="B18" s="33">
        <v>1480857.98</v>
      </c>
      <c r="C18" s="12">
        <f>-8754.43-4910.05-209.35</f>
        <v>-13873.83</v>
      </c>
      <c r="D18" s="12">
        <v>3.86</v>
      </c>
      <c r="E18" s="12">
        <f t="shared" si="11"/>
        <v>-13869.97</v>
      </c>
      <c r="F18" s="7">
        <f t="shared" si="12"/>
        <v>-2773.99</v>
      </c>
      <c r="G18" s="7">
        <f t="shared" si="13"/>
        <v>-16643.96</v>
      </c>
      <c r="H18" s="13" t="s">
        <v>69</v>
      </c>
      <c r="I18" s="7">
        <v>768.83</v>
      </c>
      <c r="J18" s="7">
        <v>275.25</v>
      </c>
      <c r="K18" s="7">
        <v>159.29</v>
      </c>
      <c r="L18" s="7">
        <v>72.22</v>
      </c>
      <c r="M18" s="7">
        <v>68.38</v>
      </c>
      <c r="N18" s="7">
        <f t="shared" si="7"/>
        <v>1343.9699999999998</v>
      </c>
      <c r="O18" s="7">
        <f t="shared" si="14"/>
        <v>268.79000000000002</v>
      </c>
      <c r="P18" s="7">
        <f t="shared" si="15"/>
        <v>1612.7599999999998</v>
      </c>
      <c r="Q18" s="8" t="s">
        <v>70</v>
      </c>
      <c r="R18" s="7">
        <v>166.76</v>
      </c>
      <c r="S18" s="7">
        <v>119.66</v>
      </c>
      <c r="T18" s="7">
        <v>159.29</v>
      </c>
      <c r="U18" s="7">
        <v>72.22</v>
      </c>
      <c r="V18" s="7">
        <v>19.5</v>
      </c>
      <c r="W18" s="7">
        <f t="shared" si="19"/>
        <v>537.42999999999995</v>
      </c>
      <c r="X18" s="7">
        <f t="shared" si="20"/>
        <v>107.49</v>
      </c>
      <c r="Y18" s="7">
        <f t="shared" si="21"/>
        <v>644.91999999999996</v>
      </c>
      <c r="Z18" s="8" t="s">
        <v>71</v>
      </c>
      <c r="AA18" s="16">
        <f t="shared" si="18"/>
        <v>14386.279999999999</v>
      </c>
      <c r="AB18" s="16"/>
      <c r="AC18" s="17">
        <f>+B18*102.03/1000</f>
        <v>151091.93969940001</v>
      </c>
      <c r="AD18" s="5" t="s">
        <v>72</v>
      </c>
      <c r="AE18" s="17">
        <v>1480857.98</v>
      </c>
      <c r="AF18" s="5" t="s">
        <v>73</v>
      </c>
    </row>
    <row r="19" spans="1:32">
      <c r="A19" s="34">
        <v>46143</v>
      </c>
      <c r="B19" s="33">
        <v>1577096.97</v>
      </c>
      <c r="C19" s="12">
        <f>-9134.64-4482.54-300.58</f>
        <v>-13917.76</v>
      </c>
      <c r="D19" s="12">
        <v>3.99</v>
      </c>
      <c r="E19" s="12">
        <f t="shared" si="11"/>
        <v>-13913.77</v>
      </c>
      <c r="F19" s="7">
        <f t="shared" si="12"/>
        <v>-2782.75</v>
      </c>
      <c r="G19" s="7">
        <f t="shared" si="13"/>
        <v>-16696.52</v>
      </c>
      <c r="H19" s="13" t="s">
        <v>74</v>
      </c>
      <c r="I19" s="7">
        <v>754.47</v>
      </c>
      <c r="J19" s="7">
        <v>234.64</v>
      </c>
      <c r="K19" s="7">
        <v>164.6</v>
      </c>
      <c r="L19" s="7">
        <v>74.63</v>
      </c>
      <c r="M19" s="7">
        <v>64.34</v>
      </c>
      <c r="N19" s="7">
        <f t="shared" si="7"/>
        <v>1292.68</v>
      </c>
      <c r="O19" s="7">
        <f t="shared" si="14"/>
        <v>258.54000000000002</v>
      </c>
      <c r="P19" s="7">
        <f t="shared" si="15"/>
        <v>1551.22</v>
      </c>
      <c r="Q19" s="8" t="s">
        <v>75</v>
      </c>
      <c r="R19" s="7">
        <v>149.96</v>
      </c>
      <c r="S19" s="7">
        <v>103.26</v>
      </c>
      <c r="T19" s="7">
        <v>164.6</v>
      </c>
      <c r="U19" s="7">
        <v>74.63</v>
      </c>
      <c r="V19" s="7">
        <v>17.2</v>
      </c>
      <c r="W19" s="7">
        <f t="shared" si="19"/>
        <v>509.65000000000003</v>
      </c>
      <c r="X19" s="7">
        <f t="shared" si="20"/>
        <v>101.93</v>
      </c>
      <c r="Y19" s="7">
        <f t="shared" si="21"/>
        <v>611.58000000000004</v>
      </c>
      <c r="Z19" s="8" t="s">
        <v>76</v>
      </c>
      <c r="AA19" s="16">
        <f>-G19-P19-Y19</f>
        <v>14533.720000000001</v>
      </c>
      <c r="AB19" s="16"/>
      <c r="AC19" s="17">
        <f>+B19*102.03/1000</f>
        <v>160911.20384909998</v>
      </c>
      <c r="AD19" s="5" t="s">
        <v>77</v>
      </c>
      <c r="AE19" s="17">
        <f>+B19</f>
        <v>1577096.97</v>
      </c>
    </row>
    <row r="20" spans="1:32" hidden="1" outlineLevel="1">
      <c r="A20" s="34" t="s">
        <v>78</v>
      </c>
      <c r="B20" s="33">
        <f>-B3</f>
        <v>-5952.4147083899688</v>
      </c>
      <c r="C20" s="12"/>
      <c r="D20" s="12"/>
      <c r="E20" s="12">
        <f t="shared" ref="E20:E54" si="22">SUM(C20:D20)</f>
        <v>0</v>
      </c>
      <c r="F20" s="7">
        <f t="shared" ref="F20:F54" si="23">ROUND(E20*0.2,2)</f>
        <v>0</v>
      </c>
      <c r="G20" s="7">
        <f t="shared" ref="G20:G54" si="24">SUM(E20:F20)</f>
        <v>0</v>
      </c>
      <c r="H20" s="13"/>
      <c r="AA20" s="16">
        <f t="shared" ref="AA20:AA48" si="25">-G20-P20-Y20</f>
        <v>0</v>
      </c>
      <c r="AB20" s="16"/>
      <c r="AC20" s="17">
        <f>+AE20*100/1000</f>
        <v>-595.24147083899697</v>
      </c>
      <c r="AD20" s="5" t="s">
        <v>79</v>
      </c>
      <c r="AE20" s="17">
        <f>+B20</f>
        <v>-5952.4147083899688</v>
      </c>
      <c r="AF20" s="30"/>
    </row>
    <row r="21" spans="1:32" hidden="1" outlineLevel="1">
      <c r="A21" s="34" t="s">
        <v>80</v>
      </c>
      <c r="B21" s="33">
        <f t="shared" ref="B21:B27" si="26">-B4</f>
        <v>-947017.79726544383</v>
      </c>
      <c r="C21" s="12"/>
      <c r="D21" s="12"/>
      <c r="E21" s="12">
        <f t="shared" si="22"/>
        <v>0</v>
      </c>
      <c r="F21" s="7">
        <f t="shared" si="23"/>
        <v>0</v>
      </c>
      <c r="G21" s="7">
        <f t="shared" si="24"/>
        <v>0</v>
      </c>
      <c r="H21" s="13"/>
      <c r="AA21" s="16">
        <f t="shared" si="25"/>
        <v>0</v>
      </c>
      <c r="AB21" s="16"/>
      <c r="AC21" s="42">
        <f>+AE21*100/1000</f>
        <v>-94701.779726544381</v>
      </c>
      <c r="AD21" s="5" t="s">
        <v>79</v>
      </c>
      <c r="AE21" s="17">
        <f t="shared" ref="AE21:AE48" si="27">+B21</f>
        <v>-947017.79726544383</v>
      </c>
    </row>
    <row r="22" spans="1:32" hidden="1" outlineLevel="1">
      <c r="A22" s="34" t="s">
        <v>81</v>
      </c>
      <c r="B22" s="33">
        <f t="shared" si="26"/>
        <v>-1393887.3036395484</v>
      </c>
      <c r="C22" s="12"/>
      <c r="D22" s="12"/>
      <c r="E22" s="12">
        <f t="shared" si="22"/>
        <v>0</v>
      </c>
      <c r="F22" s="7">
        <f t="shared" si="23"/>
        <v>0</v>
      </c>
      <c r="G22" s="7">
        <f t="shared" si="24"/>
        <v>0</v>
      </c>
      <c r="H22" s="13"/>
      <c r="AA22" s="16">
        <f t="shared" ref="AA22:AA23" si="28">-G22-P22-Y22</f>
        <v>0</v>
      </c>
      <c r="AB22" s="16"/>
      <c r="AC22" s="42">
        <f t="shared" ref="AC22:AC32" si="29">+AE22*100/1000</f>
        <v>-139388.73036395485</v>
      </c>
      <c r="AD22" s="5" t="s">
        <v>79</v>
      </c>
      <c r="AE22" s="17">
        <f>+B22</f>
        <v>-1393887.3036395484</v>
      </c>
      <c r="AF22" s="30"/>
    </row>
    <row r="23" spans="1:32" hidden="1" outlineLevel="1">
      <c r="A23" s="34" t="s">
        <v>82</v>
      </c>
      <c r="B23" s="33">
        <f t="shared" si="26"/>
        <v>-1278610.3922375715</v>
      </c>
      <c r="C23" s="12"/>
      <c r="D23" s="12"/>
      <c r="E23" s="12">
        <f t="shared" si="22"/>
        <v>0</v>
      </c>
      <c r="F23" s="7">
        <f t="shared" si="23"/>
        <v>0</v>
      </c>
      <c r="G23" s="7">
        <f t="shared" si="24"/>
        <v>0</v>
      </c>
      <c r="H23" s="13"/>
      <c r="AA23" s="16">
        <f t="shared" si="28"/>
        <v>0</v>
      </c>
      <c r="AB23" s="16"/>
      <c r="AC23" s="42">
        <f t="shared" si="29"/>
        <v>-127861.03922375715</v>
      </c>
      <c r="AD23" s="5" t="s">
        <v>79</v>
      </c>
      <c r="AE23" s="17">
        <f t="shared" ref="AE23" si="30">+B23</f>
        <v>-1278610.3922375715</v>
      </c>
    </row>
    <row r="24" spans="1:32" hidden="1" outlineLevel="1">
      <c r="A24" s="34" t="s">
        <v>83</v>
      </c>
      <c r="B24" s="33">
        <f t="shared" si="26"/>
        <v>-1272910.837838056</v>
      </c>
      <c r="C24" s="12"/>
      <c r="D24" s="12"/>
      <c r="E24" s="12">
        <f t="shared" si="22"/>
        <v>0</v>
      </c>
      <c r="F24" s="7">
        <f t="shared" si="23"/>
        <v>0</v>
      </c>
      <c r="G24" s="7">
        <f t="shared" si="24"/>
        <v>0</v>
      </c>
      <c r="H24" s="13"/>
      <c r="AA24" s="16">
        <f t="shared" si="25"/>
        <v>0</v>
      </c>
      <c r="AB24" s="16"/>
      <c r="AC24" s="42">
        <f t="shared" si="29"/>
        <v>-127291.0837838056</v>
      </c>
      <c r="AD24" s="5" t="s">
        <v>79</v>
      </c>
      <c r="AE24" s="17">
        <f t="shared" si="27"/>
        <v>-1272910.837838056</v>
      </c>
    </row>
    <row r="25" spans="1:32" hidden="1" outlineLevel="1">
      <c r="A25" s="34" t="s">
        <v>84</v>
      </c>
      <c r="B25" s="33">
        <f t="shared" si="26"/>
        <v>-1119239.1594197624</v>
      </c>
      <c r="C25" s="12"/>
      <c r="D25" s="12"/>
      <c r="E25" s="12">
        <f t="shared" si="22"/>
        <v>0</v>
      </c>
      <c r="F25" s="7">
        <f t="shared" si="23"/>
        <v>0</v>
      </c>
      <c r="G25" s="7">
        <f t="shared" si="24"/>
        <v>0</v>
      </c>
      <c r="H25" s="13"/>
      <c r="AA25" s="16">
        <f t="shared" si="25"/>
        <v>0</v>
      </c>
      <c r="AB25" s="16"/>
      <c r="AC25" s="42">
        <f t="shared" si="29"/>
        <v>-111923.91594197624</v>
      </c>
      <c r="AD25" s="5" t="s">
        <v>79</v>
      </c>
      <c r="AE25" s="17">
        <f t="shared" si="27"/>
        <v>-1119239.1594197624</v>
      </c>
    </row>
    <row r="26" spans="1:32" hidden="1" outlineLevel="1">
      <c r="A26" s="34" t="s">
        <v>85</v>
      </c>
      <c r="B26" s="33">
        <f t="shared" si="26"/>
        <v>-937019.05477395758</v>
      </c>
      <c r="C26" s="12"/>
      <c r="D26" s="12"/>
      <c r="E26" s="12">
        <f t="shared" si="22"/>
        <v>0</v>
      </c>
      <c r="F26" s="7">
        <f t="shared" si="23"/>
        <v>0</v>
      </c>
      <c r="G26" s="7">
        <f t="shared" si="24"/>
        <v>0</v>
      </c>
      <c r="H26" s="13"/>
      <c r="AA26" s="16">
        <f t="shared" si="25"/>
        <v>0</v>
      </c>
      <c r="AB26" s="16"/>
      <c r="AC26" s="42">
        <f t="shared" si="29"/>
        <v>-93701.905477395761</v>
      </c>
      <c r="AD26" s="5" t="s">
        <v>79</v>
      </c>
      <c r="AE26" s="17">
        <f t="shared" si="27"/>
        <v>-937019.05477395758</v>
      </c>
    </row>
    <row r="27" spans="1:32" hidden="1" outlineLevel="1">
      <c r="A27" s="34" t="s">
        <v>86</v>
      </c>
      <c r="B27" s="33">
        <f t="shared" si="26"/>
        <v>-507883.38902074512</v>
      </c>
      <c r="C27" s="12"/>
      <c r="D27" s="12"/>
      <c r="E27" s="12">
        <f t="shared" si="22"/>
        <v>0</v>
      </c>
      <c r="F27" s="7">
        <f t="shared" si="23"/>
        <v>0</v>
      </c>
      <c r="G27" s="7">
        <f t="shared" si="24"/>
        <v>0</v>
      </c>
      <c r="H27" s="13"/>
      <c r="AA27" s="16">
        <f t="shared" si="25"/>
        <v>0</v>
      </c>
      <c r="AB27" s="16"/>
      <c r="AC27" s="42">
        <f t="shared" si="29"/>
        <v>-50788.338902074509</v>
      </c>
      <c r="AD27" s="5" t="s">
        <v>79</v>
      </c>
      <c r="AE27" s="17">
        <f t="shared" si="27"/>
        <v>-507883.38902074512</v>
      </c>
    </row>
    <row r="28" spans="1:32" hidden="1" outlineLevel="1">
      <c r="A28" s="34" t="s">
        <v>87</v>
      </c>
      <c r="B28" s="33">
        <f>-B11-B16-B17</f>
        <v>-356997.55999999994</v>
      </c>
      <c r="C28" s="12"/>
      <c r="D28" s="12"/>
      <c r="E28" s="12">
        <f t="shared" si="22"/>
        <v>0</v>
      </c>
      <c r="F28" s="7">
        <f t="shared" si="23"/>
        <v>0</v>
      </c>
      <c r="G28" s="7">
        <f t="shared" si="24"/>
        <v>0</v>
      </c>
      <c r="H28" s="13"/>
      <c r="AA28" s="16">
        <f t="shared" si="25"/>
        <v>0</v>
      </c>
      <c r="AB28" s="16"/>
      <c r="AC28" s="42">
        <f t="shared" si="29"/>
        <v>-35699.755999999994</v>
      </c>
      <c r="AD28" s="5" t="s">
        <v>79</v>
      </c>
      <c r="AE28" s="17">
        <f t="shared" si="27"/>
        <v>-356997.55999999994</v>
      </c>
    </row>
    <row r="29" spans="1:32" hidden="1" outlineLevel="1">
      <c r="A29" s="34" t="s">
        <v>88</v>
      </c>
      <c r="B29" s="33">
        <f>-B12</f>
        <v>-299330.48</v>
      </c>
      <c r="C29" s="12"/>
      <c r="D29" s="12"/>
      <c r="E29" s="12">
        <f t="shared" si="22"/>
        <v>0</v>
      </c>
      <c r="F29" s="7">
        <f t="shared" si="23"/>
        <v>0</v>
      </c>
      <c r="G29" s="7">
        <f t="shared" si="24"/>
        <v>0</v>
      </c>
      <c r="H29" s="13"/>
      <c r="AA29" s="16">
        <f t="shared" si="25"/>
        <v>0</v>
      </c>
      <c r="AB29" s="16"/>
      <c r="AC29" s="42">
        <f t="shared" si="29"/>
        <v>-29933.047999999999</v>
      </c>
      <c r="AD29" s="5" t="s">
        <v>79</v>
      </c>
      <c r="AE29" s="17">
        <f t="shared" si="27"/>
        <v>-299330.48</v>
      </c>
    </row>
    <row r="30" spans="1:32" hidden="1" outlineLevel="1">
      <c r="A30" s="34" t="s">
        <v>89</v>
      </c>
      <c r="B30" s="33">
        <f t="shared" ref="B30:B32" si="31">-B13</f>
        <v>-301192.5</v>
      </c>
      <c r="C30" s="12"/>
      <c r="D30" s="12"/>
      <c r="E30" s="12">
        <f t="shared" si="22"/>
        <v>0</v>
      </c>
      <c r="F30" s="7">
        <f t="shared" si="23"/>
        <v>0</v>
      </c>
      <c r="G30" s="7">
        <f t="shared" si="24"/>
        <v>0</v>
      </c>
      <c r="H30" s="13"/>
      <c r="AA30" s="16">
        <f t="shared" si="25"/>
        <v>0</v>
      </c>
      <c r="AB30" s="16"/>
      <c r="AC30" s="42">
        <f t="shared" si="29"/>
        <v>-30119.25</v>
      </c>
      <c r="AD30" s="5" t="s">
        <v>79</v>
      </c>
      <c r="AE30" s="17">
        <f t="shared" si="27"/>
        <v>-301192.5</v>
      </c>
    </row>
    <row r="31" spans="1:32" hidden="1" outlineLevel="1">
      <c r="A31" s="34" t="s">
        <v>90</v>
      </c>
      <c r="B31" s="33">
        <f t="shared" si="31"/>
        <v>-342055.46</v>
      </c>
      <c r="C31" s="12"/>
      <c r="D31" s="12"/>
      <c r="E31" s="12">
        <f t="shared" si="22"/>
        <v>0</v>
      </c>
      <c r="F31" s="7">
        <f t="shared" si="23"/>
        <v>0</v>
      </c>
      <c r="G31" s="7">
        <f t="shared" si="24"/>
        <v>0</v>
      </c>
      <c r="H31" s="13"/>
      <c r="AA31" s="16">
        <f t="shared" si="25"/>
        <v>0</v>
      </c>
      <c r="AB31" s="16"/>
      <c r="AC31" s="42">
        <f t="shared" si="29"/>
        <v>-34205.546000000002</v>
      </c>
      <c r="AD31" s="5" t="s">
        <v>79</v>
      </c>
      <c r="AE31" s="17">
        <f t="shared" si="27"/>
        <v>-342055.46</v>
      </c>
    </row>
    <row r="32" spans="1:32" hidden="1" outlineLevel="1">
      <c r="A32" s="34" t="s">
        <v>91</v>
      </c>
      <c r="B32" s="33">
        <f t="shared" si="31"/>
        <v>-1042927.5</v>
      </c>
      <c r="C32" s="12"/>
      <c r="D32" s="12"/>
      <c r="E32" s="12">
        <f t="shared" si="22"/>
        <v>0</v>
      </c>
      <c r="F32" s="7">
        <f t="shared" si="23"/>
        <v>0</v>
      </c>
      <c r="G32" s="7">
        <f t="shared" si="24"/>
        <v>0</v>
      </c>
      <c r="H32" s="13"/>
      <c r="AA32" s="16">
        <f t="shared" si="25"/>
        <v>0</v>
      </c>
      <c r="AB32" s="16"/>
      <c r="AC32" s="42">
        <f t="shared" si="29"/>
        <v>-104292.75</v>
      </c>
      <c r="AD32" s="5" t="s">
        <v>79</v>
      </c>
      <c r="AE32" s="17">
        <f t="shared" si="27"/>
        <v>-1042927.5</v>
      </c>
    </row>
    <row r="33" spans="1:33" hidden="1" outlineLevel="1">
      <c r="A33" s="34" t="s">
        <v>92</v>
      </c>
      <c r="B33" s="33">
        <f>-B18</f>
        <v>-1480857.98</v>
      </c>
      <c r="C33" s="12"/>
      <c r="D33" s="12"/>
      <c r="E33" s="12">
        <f t="shared" si="22"/>
        <v>0</v>
      </c>
      <c r="F33" s="7">
        <f t="shared" si="23"/>
        <v>0</v>
      </c>
      <c r="G33" s="7">
        <f t="shared" si="24"/>
        <v>0</v>
      </c>
      <c r="H33" s="13"/>
      <c r="AA33" s="16">
        <f t="shared" si="25"/>
        <v>0</v>
      </c>
      <c r="AB33" s="16"/>
      <c r="AC33" s="42">
        <f>+AE33*102.03/1000</f>
        <v>-151091.93969940001</v>
      </c>
      <c r="AD33" s="5" t="s">
        <v>93</v>
      </c>
      <c r="AE33" s="17">
        <f t="shared" si="27"/>
        <v>-1480857.98</v>
      </c>
    </row>
    <row r="34" spans="1:33" hidden="1" outlineLevel="1">
      <c r="A34" s="34" t="s">
        <v>94</v>
      </c>
      <c r="B34" s="33">
        <v>5785.09</v>
      </c>
      <c r="C34" s="12"/>
      <c r="D34" s="12"/>
      <c r="E34" s="12">
        <f t="shared" si="22"/>
        <v>0</v>
      </c>
      <c r="F34" s="7">
        <f t="shared" si="23"/>
        <v>0</v>
      </c>
      <c r="G34" s="7">
        <f t="shared" si="24"/>
        <v>0</v>
      </c>
      <c r="H34" s="13"/>
      <c r="AA34" s="16">
        <f t="shared" si="25"/>
        <v>0</v>
      </c>
      <c r="AB34" s="16"/>
      <c r="AC34" s="42">
        <f t="shared" ref="AC34:AC46" si="32">+AE34*100/1000</f>
        <v>578.50900000000001</v>
      </c>
      <c r="AD34" s="5" t="s">
        <v>79</v>
      </c>
      <c r="AE34" s="17">
        <f t="shared" si="27"/>
        <v>5785.09</v>
      </c>
    </row>
    <row r="35" spans="1:33" hidden="1" outlineLevel="1">
      <c r="A35" s="34" t="s">
        <v>95</v>
      </c>
      <c r="B35" s="33">
        <v>927379.40315800055</v>
      </c>
      <c r="C35" s="12"/>
      <c r="D35" s="12"/>
      <c r="E35" s="12">
        <f t="shared" si="22"/>
        <v>0</v>
      </c>
      <c r="F35" s="7">
        <f t="shared" si="23"/>
        <v>0</v>
      </c>
      <c r="G35" s="7">
        <f t="shared" si="24"/>
        <v>0</v>
      </c>
      <c r="H35" s="13"/>
      <c r="AA35" s="16">
        <f t="shared" si="25"/>
        <v>0</v>
      </c>
      <c r="AB35" s="16"/>
      <c r="AC35" s="42">
        <f t="shared" si="32"/>
        <v>92737.94031580005</v>
      </c>
      <c r="AD35" s="5" t="s">
        <v>79</v>
      </c>
      <c r="AE35" s="17">
        <f t="shared" si="27"/>
        <v>927379.40315800055</v>
      </c>
    </row>
    <row r="36" spans="1:33" hidden="1" outlineLevel="1">
      <c r="A36" s="34" t="s">
        <v>96</v>
      </c>
      <c r="B36" s="33">
        <v>1365143.662717002</v>
      </c>
      <c r="C36" s="12"/>
      <c r="D36" s="12"/>
      <c r="E36" s="12">
        <f t="shared" si="22"/>
        <v>0</v>
      </c>
      <c r="F36" s="7">
        <f t="shared" si="23"/>
        <v>0</v>
      </c>
      <c r="G36" s="7">
        <f t="shared" si="24"/>
        <v>0</v>
      </c>
      <c r="H36" s="13"/>
      <c r="AA36" s="16">
        <f t="shared" si="25"/>
        <v>0</v>
      </c>
      <c r="AB36" s="16"/>
      <c r="AC36" s="42">
        <f t="shared" si="32"/>
        <v>136514.36627170022</v>
      </c>
      <c r="AD36" s="5" t="s">
        <v>79</v>
      </c>
      <c r="AE36" s="17">
        <f t="shared" si="27"/>
        <v>1365143.662717002</v>
      </c>
    </row>
    <row r="37" spans="1:33" hidden="1" outlineLevel="1">
      <c r="A37" s="34" t="s">
        <v>97</v>
      </c>
      <c r="B37" s="33">
        <v>1243576.9669119995</v>
      </c>
      <c r="C37" s="12"/>
      <c r="D37" s="12"/>
      <c r="E37" s="12">
        <f t="shared" si="22"/>
        <v>0</v>
      </c>
      <c r="F37" s="7">
        <f t="shared" si="23"/>
        <v>0</v>
      </c>
      <c r="G37" s="7">
        <f t="shared" si="24"/>
        <v>0</v>
      </c>
      <c r="H37" s="13"/>
      <c r="AA37" s="16">
        <f t="shared" si="25"/>
        <v>0</v>
      </c>
      <c r="AB37" s="16"/>
      <c r="AC37" s="42">
        <f t="shared" si="32"/>
        <v>124357.69669119996</v>
      </c>
      <c r="AD37" s="5" t="s">
        <v>79</v>
      </c>
      <c r="AE37" s="17">
        <f t="shared" si="27"/>
        <v>1243576.9669119995</v>
      </c>
    </row>
    <row r="38" spans="1:33" hidden="1" outlineLevel="1">
      <c r="A38" s="34" t="s">
        <v>98</v>
      </c>
      <c r="B38" s="33">
        <v>1237887.381989998</v>
      </c>
      <c r="C38" s="12"/>
      <c r="D38" s="12"/>
      <c r="E38" s="12">
        <f t="shared" si="22"/>
        <v>0</v>
      </c>
      <c r="F38" s="7">
        <f t="shared" si="23"/>
        <v>0</v>
      </c>
      <c r="G38" s="7">
        <f t="shared" si="24"/>
        <v>0</v>
      </c>
      <c r="H38" s="13"/>
      <c r="AA38" s="16">
        <f t="shared" si="25"/>
        <v>0</v>
      </c>
      <c r="AB38" s="16"/>
      <c r="AC38" s="42">
        <f t="shared" si="32"/>
        <v>123788.73819899981</v>
      </c>
      <c r="AD38" s="5" t="s">
        <v>79</v>
      </c>
      <c r="AE38" s="17">
        <f t="shared" si="27"/>
        <v>1237887.381989998</v>
      </c>
    </row>
    <row r="39" spans="1:33" hidden="1" outlineLevel="1">
      <c r="A39" s="34" t="s">
        <v>99</v>
      </c>
      <c r="B39" s="33">
        <v>1088468.1776730008</v>
      </c>
      <c r="C39" s="12"/>
      <c r="D39" s="12"/>
      <c r="E39" s="12">
        <f t="shared" si="22"/>
        <v>0</v>
      </c>
      <c r="F39" s="7">
        <f t="shared" si="23"/>
        <v>0</v>
      </c>
      <c r="G39" s="7">
        <f t="shared" si="24"/>
        <v>0</v>
      </c>
      <c r="H39" s="13"/>
      <c r="AA39" s="16">
        <f t="shared" si="25"/>
        <v>0</v>
      </c>
      <c r="AB39" s="16"/>
      <c r="AC39" s="42">
        <f t="shared" si="32"/>
        <v>108846.81776730009</v>
      </c>
      <c r="AD39" s="5" t="s">
        <v>79</v>
      </c>
      <c r="AE39" s="17">
        <f t="shared" si="27"/>
        <v>1088468.1776730008</v>
      </c>
    </row>
    <row r="40" spans="1:33" hidden="1" outlineLevel="1">
      <c r="A40" s="34" t="s">
        <v>100</v>
      </c>
      <c r="B40" s="33">
        <v>910060.75040499971</v>
      </c>
      <c r="C40" s="12"/>
      <c r="D40" s="12"/>
      <c r="E40" s="12">
        <f t="shared" si="22"/>
        <v>0</v>
      </c>
      <c r="F40" s="7">
        <f t="shared" si="23"/>
        <v>0</v>
      </c>
      <c r="G40" s="7">
        <f t="shared" si="24"/>
        <v>0</v>
      </c>
      <c r="H40" s="13"/>
      <c r="AA40" s="16">
        <f t="shared" si="25"/>
        <v>0</v>
      </c>
      <c r="AB40" s="16"/>
      <c r="AC40" s="42">
        <f t="shared" si="32"/>
        <v>91006.075040499971</v>
      </c>
      <c r="AD40" s="5" t="s">
        <v>79</v>
      </c>
      <c r="AE40" s="17">
        <f t="shared" si="27"/>
        <v>910060.75040499971</v>
      </c>
    </row>
    <row r="41" spans="1:33" hidden="1" outlineLevel="1">
      <c r="A41" s="34" t="s">
        <v>101</v>
      </c>
      <c r="B41" s="33">
        <v>497033.62657100015</v>
      </c>
      <c r="C41" s="12"/>
      <c r="D41" s="12"/>
      <c r="E41" s="12">
        <f t="shared" si="22"/>
        <v>0</v>
      </c>
      <c r="F41" s="7">
        <f t="shared" si="23"/>
        <v>0</v>
      </c>
      <c r="G41" s="7">
        <f t="shared" si="24"/>
        <v>0</v>
      </c>
      <c r="H41" s="13"/>
      <c r="AA41" s="16">
        <f t="shared" si="25"/>
        <v>0</v>
      </c>
      <c r="AB41" s="16"/>
      <c r="AC41" s="42">
        <f t="shared" si="32"/>
        <v>49703.362657100013</v>
      </c>
      <c r="AD41" s="5" t="s">
        <v>79</v>
      </c>
      <c r="AE41" s="17">
        <f t="shared" si="27"/>
        <v>497033.62657100015</v>
      </c>
    </row>
    <row r="42" spans="1:33" hidden="1" outlineLevel="1">
      <c r="A42" s="34" t="s">
        <v>102</v>
      </c>
      <c r="B42" s="33">
        <v>347943.79611199989</v>
      </c>
      <c r="C42" s="12"/>
      <c r="D42" s="12"/>
      <c r="E42" s="12">
        <f t="shared" si="22"/>
        <v>0</v>
      </c>
      <c r="F42" s="7">
        <f t="shared" si="23"/>
        <v>0</v>
      </c>
      <c r="G42" s="7">
        <f t="shared" si="24"/>
        <v>0</v>
      </c>
      <c r="H42" s="13"/>
      <c r="AA42" s="16">
        <f t="shared" si="25"/>
        <v>0</v>
      </c>
      <c r="AB42" s="16"/>
      <c r="AC42" s="42">
        <f t="shared" si="32"/>
        <v>34794.379611199991</v>
      </c>
      <c r="AD42" s="5" t="s">
        <v>79</v>
      </c>
      <c r="AE42" s="17">
        <f t="shared" si="27"/>
        <v>347943.79611199989</v>
      </c>
    </row>
    <row r="43" spans="1:33" hidden="1" outlineLevel="1">
      <c r="A43" s="34" t="s">
        <v>103</v>
      </c>
      <c r="B43" s="33">
        <v>292500.03708800033</v>
      </c>
      <c r="C43" s="12"/>
      <c r="D43" s="12"/>
      <c r="E43" s="12">
        <f t="shared" si="22"/>
        <v>0</v>
      </c>
      <c r="F43" s="7">
        <f t="shared" si="23"/>
        <v>0</v>
      </c>
      <c r="G43" s="7">
        <f t="shared" si="24"/>
        <v>0</v>
      </c>
      <c r="H43" s="13"/>
      <c r="AA43" s="16">
        <f t="shared" si="25"/>
        <v>0</v>
      </c>
      <c r="AB43" s="16"/>
      <c r="AC43" s="42">
        <f t="shared" si="32"/>
        <v>29250.003708800032</v>
      </c>
      <c r="AD43" s="5" t="s">
        <v>79</v>
      </c>
      <c r="AE43" s="17">
        <f t="shared" si="27"/>
        <v>292500.03708800033</v>
      </c>
    </row>
    <row r="44" spans="1:33" hidden="1" outlineLevel="1">
      <c r="A44" s="34" t="s">
        <v>104</v>
      </c>
      <c r="B44" s="33">
        <v>295304.56776400027</v>
      </c>
      <c r="C44" s="12"/>
      <c r="D44" s="12"/>
      <c r="E44" s="12">
        <f t="shared" si="22"/>
        <v>0</v>
      </c>
      <c r="F44" s="7">
        <f t="shared" si="23"/>
        <v>0</v>
      </c>
      <c r="G44" s="7">
        <f t="shared" si="24"/>
        <v>0</v>
      </c>
      <c r="H44" s="13"/>
      <c r="AA44" s="16">
        <f t="shared" si="25"/>
        <v>0</v>
      </c>
      <c r="AB44" s="16"/>
      <c r="AC44" s="42">
        <f t="shared" si="32"/>
        <v>29530.456776400028</v>
      </c>
      <c r="AD44" s="5" t="s">
        <v>79</v>
      </c>
      <c r="AE44" s="17">
        <f t="shared" si="27"/>
        <v>295304.56776400027</v>
      </c>
    </row>
    <row r="45" spans="1:33" hidden="1" outlineLevel="1">
      <c r="A45" s="34" t="s">
        <v>105</v>
      </c>
      <c r="B45" s="33">
        <v>338984.23451099993</v>
      </c>
      <c r="C45" s="12"/>
      <c r="D45" s="12"/>
      <c r="E45" s="12">
        <f t="shared" si="22"/>
        <v>0</v>
      </c>
      <c r="F45" s="7">
        <f t="shared" si="23"/>
        <v>0</v>
      </c>
      <c r="G45" s="7">
        <f t="shared" si="24"/>
        <v>0</v>
      </c>
      <c r="H45" s="13"/>
      <c r="AA45" s="16">
        <f t="shared" si="25"/>
        <v>0</v>
      </c>
      <c r="AB45" s="16"/>
      <c r="AC45" s="42">
        <f t="shared" si="32"/>
        <v>33898.423451099989</v>
      </c>
      <c r="AD45" s="5" t="s">
        <v>79</v>
      </c>
      <c r="AE45" s="17">
        <f t="shared" si="27"/>
        <v>338984.23451099993</v>
      </c>
    </row>
    <row r="46" spans="1:33" hidden="1" outlineLevel="1">
      <c r="A46" s="34" t="s">
        <v>106</v>
      </c>
      <c r="B46" s="33">
        <v>1015221.2278200005</v>
      </c>
      <c r="C46" s="12"/>
      <c r="D46" s="12"/>
      <c r="E46" s="12">
        <f t="shared" si="22"/>
        <v>0</v>
      </c>
      <c r="F46" s="7">
        <f t="shared" si="23"/>
        <v>0</v>
      </c>
      <c r="G46" s="7">
        <f t="shared" si="24"/>
        <v>0</v>
      </c>
      <c r="H46" s="13"/>
      <c r="AA46" s="16">
        <f t="shared" si="25"/>
        <v>0</v>
      </c>
      <c r="AB46" s="16"/>
      <c r="AC46" s="42">
        <f t="shared" si="32"/>
        <v>101522.12278200005</v>
      </c>
      <c r="AD46" s="5" t="s">
        <v>79</v>
      </c>
      <c r="AE46" s="17">
        <f t="shared" si="27"/>
        <v>1015221.2278200005</v>
      </c>
    </row>
    <row r="47" spans="1:33" hidden="1" outlineLevel="1">
      <c r="A47" s="34" t="s">
        <v>107</v>
      </c>
      <c r="B47" s="33">
        <v>1471006.1597559997</v>
      </c>
      <c r="C47" s="12"/>
      <c r="D47" s="12"/>
      <c r="E47" s="12">
        <f t="shared" si="22"/>
        <v>0</v>
      </c>
      <c r="F47" s="7">
        <f t="shared" si="23"/>
        <v>0</v>
      </c>
      <c r="G47" s="7">
        <f t="shared" si="24"/>
        <v>0</v>
      </c>
      <c r="H47" s="13"/>
      <c r="AA47" s="16">
        <f t="shared" si="25"/>
        <v>0</v>
      </c>
      <c r="AB47" s="16"/>
      <c r="AC47" s="42">
        <f>+AE47*102.03/1000</f>
        <v>150086.75847990465</v>
      </c>
      <c r="AD47" s="5" t="s">
        <v>93</v>
      </c>
      <c r="AE47" s="17">
        <f t="shared" si="27"/>
        <v>1471006.1597559997</v>
      </c>
    </row>
    <row r="48" spans="1:33" collapsed="1">
      <c r="A48" s="34">
        <v>46174</v>
      </c>
      <c r="B48" s="33">
        <v>1453232.39</v>
      </c>
      <c r="C48" s="12">
        <f>-9686.27-4805.48-192.61</f>
        <v>-14684.36</v>
      </c>
      <c r="D48" s="12">
        <v>3.86</v>
      </c>
      <c r="E48" s="12">
        <f t="shared" si="22"/>
        <v>-14680.5</v>
      </c>
      <c r="F48" s="7">
        <f t="shared" si="23"/>
        <v>-2936.1</v>
      </c>
      <c r="G48" s="7">
        <f t="shared" si="24"/>
        <v>-17616.599999999999</v>
      </c>
      <c r="H48" s="13" t="s">
        <v>108</v>
      </c>
      <c r="I48" s="7">
        <v>580.69000000000005</v>
      </c>
      <c r="J48" s="7">
        <v>152.19999999999999</v>
      </c>
      <c r="K48" s="7">
        <v>159.29</v>
      </c>
      <c r="L48" s="7">
        <v>72.22</v>
      </c>
      <c r="M48" s="7">
        <v>47.31</v>
      </c>
      <c r="N48" s="7">
        <f t="shared" si="7"/>
        <v>1011.71</v>
      </c>
      <c r="O48" s="7">
        <f t="shared" si="14"/>
        <v>202.34</v>
      </c>
      <c r="P48" s="7">
        <f t="shared" si="15"/>
        <v>1214.05</v>
      </c>
      <c r="Q48" s="8" t="s">
        <v>109</v>
      </c>
      <c r="R48" s="7">
        <v>132.18</v>
      </c>
      <c r="S48" s="7">
        <v>92.01</v>
      </c>
      <c r="T48" s="7">
        <v>159.29</v>
      </c>
      <c r="U48" s="7">
        <v>72.22</v>
      </c>
      <c r="V48" s="7">
        <v>15.24</v>
      </c>
      <c r="W48" s="7">
        <f t="shared" si="19"/>
        <v>470.94000000000005</v>
      </c>
      <c r="X48" s="7">
        <f t="shared" si="20"/>
        <v>94.19</v>
      </c>
      <c r="Y48" s="7">
        <f t="shared" si="21"/>
        <v>565.13000000000011</v>
      </c>
      <c r="Z48" s="8" t="s">
        <v>110</v>
      </c>
      <c r="AA48" s="16">
        <f t="shared" si="25"/>
        <v>15837.419999999998</v>
      </c>
      <c r="AB48" s="16"/>
      <c r="AC48" s="17">
        <f>+AE48*102.03/1000</f>
        <v>148273.30075169998</v>
      </c>
      <c r="AD48" s="5" t="s">
        <v>111</v>
      </c>
      <c r="AE48" s="17">
        <f t="shared" si="27"/>
        <v>1453232.39</v>
      </c>
      <c r="AG48" s="46">
        <f>E48-AC48</f>
        <v>-162953.80075169998</v>
      </c>
    </row>
    <row r="49" spans="1:32">
      <c r="A49" s="34">
        <v>46204</v>
      </c>
      <c r="C49" s="12"/>
      <c r="D49" s="12"/>
      <c r="E49" s="12">
        <f t="shared" si="22"/>
        <v>0</v>
      </c>
      <c r="F49" s="7">
        <f t="shared" si="23"/>
        <v>0</v>
      </c>
      <c r="G49" s="7">
        <f t="shared" si="24"/>
        <v>0</v>
      </c>
      <c r="H49" s="13" t="s">
        <v>112</v>
      </c>
      <c r="I49" s="7">
        <v>526.83000000000004</v>
      </c>
      <c r="J49" s="7">
        <v>131.53</v>
      </c>
      <c r="K49" s="7">
        <v>164.6</v>
      </c>
      <c r="L49" s="7">
        <v>74.63</v>
      </c>
      <c r="M49" s="7">
        <v>42.41</v>
      </c>
      <c r="N49" s="7">
        <f t="shared" si="7"/>
        <v>940</v>
      </c>
      <c r="O49" s="7">
        <f t="shared" si="14"/>
        <v>188</v>
      </c>
      <c r="P49" s="7">
        <f t="shared" si="15"/>
        <v>1128</v>
      </c>
      <c r="Q49" s="8" t="s">
        <v>113</v>
      </c>
      <c r="R49" s="7">
        <v>106.93</v>
      </c>
      <c r="S49" s="7">
        <v>127.47</v>
      </c>
      <c r="T49" s="7">
        <v>164.6</v>
      </c>
      <c r="U49" s="7">
        <v>74.63</v>
      </c>
      <c r="V49" s="7">
        <v>16.46</v>
      </c>
      <c r="W49" s="7">
        <f t="shared" si="19"/>
        <v>490.09</v>
      </c>
      <c r="X49" s="7">
        <f t="shared" si="20"/>
        <v>98.02</v>
      </c>
      <c r="Y49" s="7">
        <f t="shared" si="21"/>
        <v>588.11</v>
      </c>
      <c r="Z49" s="8" t="s">
        <v>114</v>
      </c>
      <c r="AA49" s="16">
        <f t="shared" si="9"/>
        <v>-1716.1100000000001</v>
      </c>
      <c r="AB49" s="16"/>
      <c r="AC49" s="17"/>
    </row>
    <row r="50" spans="1:32">
      <c r="A50" s="34">
        <v>46235</v>
      </c>
      <c r="C50" s="12"/>
      <c r="D50" s="12"/>
      <c r="E50" s="12">
        <f t="shared" si="22"/>
        <v>0</v>
      </c>
      <c r="F50" s="7">
        <f t="shared" si="23"/>
        <v>0</v>
      </c>
      <c r="G50" s="7">
        <f t="shared" si="24"/>
        <v>0</v>
      </c>
      <c r="H50" s="13" t="s">
        <v>115</v>
      </c>
      <c r="N50" s="7">
        <f t="shared" si="7"/>
        <v>0</v>
      </c>
      <c r="O50" s="7">
        <f t="shared" si="14"/>
        <v>0</v>
      </c>
      <c r="P50" s="7">
        <f t="shared" si="15"/>
        <v>0</v>
      </c>
      <c r="Q50" s="8" t="s">
        <v>116</v>
      </c>
      <c r="W50" s="7">
        <f t="shared" si="19"/>
        <v>0</v>
      </c>
      <c r="X50" s="7">
        <f t="shared" si="20"/>
        <v>0</v>
      </c>
      <c r="Y50" s="7">
        <f t="shared" si="21"/>
        <v>0</v>
      </c>
      <c r="Z50" s="8" t="s">
        <v>117</v>
      </c>
      <c r="AA50" s="16">
        <f t="shared" si="9"/>
        <v>0</v>
      </c>
      <c r="AB50" s="16"/>
      <c r="AC50" s="17"/>
    </row>
    <row r="51" spans="1:32">
      <c r="A51" s="34">
        <v>46266</v>
      </c>
      <c r="C51" s="12"/>
      <c r="D51" s="12"/>
      <c r="E51" s="12">
        <f t="shared" si="22"/>
        <v>0</v>
      </c>
      <c r="F51" s="7">
        <f t="shared" si="23"/>
        <v>0</v>
      </c>
      <c r="G51" s="7">
        <f t="shared" si="24"/>
        <v>0</v>
      </c>
      <c r="H51" s="13" t="s">
        <v>118</v>
      </c>
      <c r="N51" s="7">
        <f t="shared" si="7"/>
        <v>0</v>
      </c>
      <c r="O51" s="7">
        <f t="shared" si="14"/>
        <v>0</v>
      </c>
      <c r="P51" s="7">
        <f t="shared" si="15"/>
        <v>0</v>
      </c>
      <c r="Q51" s="8" t="s">
        <v>119</v>
      </c>
      <c r="W51" s="7">
        <f t="shared" si="19"/>
        <v>0</v>
      </c>
      <c r="X51" s="7">
        <f t="shared" si="20"/>
        <v>0</v>
      </c>
      <c r="Y51" s="7">
        <f t="shared" si="21"/>
        <v>0</v>
      </c>
      <c r="Z51" s="8" t="s">
        <v>120</v>
      </c>
      <c r="AA51" s="16">
        <f t="shared" si="9"/>
        <v>0</v>
      </c>
      <c r="AB51" s="16"/>
      <c r="AC51" s="17"/>
    </row>
    <row r="52" spans="1:32">
      <c r="A52" s="34">
        <v>46296</v>
      </c>
      <c r="C52" s="12"/>
      <c r="D52" s="12"/>
      <c r="E52" s="12">
        <f t="shared" si="22"/>
        <v>0</v>
      </c>
      <c r="F52" s="7">
        <f t="shared" si="23"/>
        <v>0</v>
      </c>
      <c r="G52" s="7">
        <f t="shared" si="24"/>
        <v>0</v>
      </c>
      <c r="H52" s="13" t="s">
        <v>121</v>
      </c>
      <c r="N52" s="7">
        <f t="shared" si="7"/>
        <v>0</v>
      </c>
      <c r="O52" s="7">
        <f t="shared" si="14"/>
        <v>0</v>
      </c>
      <c r="P52" s="7">
        <f t="shared" si="15"/>
        <v>0</v>
      </c>
      <c r="Q52" s="8" t="s">
        <v>122</v>
      </c>
      <c r="W52" s="7">
        <f t="shared" si="19"/>
        <v>0</v>
      </c>
      <c r="X52" s="7">
        <f t="shared" si="20"/>
        <v>0</v>
      </c>
      <c r="Y52" s="7">
        <f t="shared" si="21"/>
        <v>0</v>
      </c>
      <c r="Z52" s="8" t="s">
        <v>123</v>
      </c>
      <c r="AA52" s="16">
        <f t="shared" si="9"/>
        <v>0</v>
      </c>
      <c r="AB52" s="16"/>
      <c r="AC52" s="17"/>
    </row>
    <row r="53" spans="1:32">
      <c r="A53" s="34">
        <v>46327</v>
      </c>
      <c r="C53" s="12"/>
      <c r="D53" s="12"/>
      <c r="E53" s="12">
        <f t="shared" si="22"/>
        <v>0</v>
      </c>
      <c r="F53" s="7">
        <f t="shared" si="23"/>
        <v>0</v>
      </c>
      <c r="G53" s="7">
        <f t="shared" si="24"/>
        <v>0</v>
      </c>
      <c r="H53" s="13" t="s">
        <v>124</v>
      </c>
      <c r="N53" s="7">
        <f t="shared" si="7"/>
        <v>0</v>
      </c>
      <c r="O53" s="7">
        <f t="shared" si="14"/>
        <v>0</v>
      </c>
      <c r="P53" s="7">
        <f t="shared" si="15"/>
        <v>0</v>
      </c>
      <c r="Q53" s="8" t="s">
        <v>125</v>
      </c>
      <c r="W53" s="7">
        <f t="shared" si="19"/>
        <v>0</v>
      </c>
      <c r="X53" s="7">
        <f t="shared" si="20"/>
        <v>0</v>
      </c>
      <c r="Y53" s="7">
        <f t="shared" si="21"/>
        <v>0</v>
      </c>
      <c r="Z53" s="8" t="s">
        <v>126</v>
      </c>
      <c r="AA53" s="16">
        <f t="shared" si="9"/>
        <v>0</v>
      </c>
      <c r="AB53" s="16"/>
      <c r="AC53" s="17"/>
    </row>
    <row r="54" spans="1:32">
      <c r="A54" s="34">
        <v>46357</v>
      </c>
      <c r="C54" s="12"/>
      <c r="D54" s="12"/>
      <c r="E54" s="12">
        <f t="shared" si="22"/>
        <v>0</v>
      </c>
      <c r="F54" s="7">
        <f t="shared" si="23"/>
        <v>0</v>
      </c>
      <c r="G54" s="7">
        <f t="shared" si="24"/>
        <v>0</v>
      </c>
      <c r="H54" s="13" t="s">
        <v>127</v>
      </c>
      <c r="N54" s="7">
        <f t="shared" si="7"/>
        <v>0</v>
      </c>
      <c r="O54" s="7">
        <f t="shared" si="14"/>
        <v>0</v>
      </c>
      <c r="P54" s="7">
        <f t="shared" si="15"/>
        <v>0</v>
      </c>
      <c r="W54" s="7">
        <f t="shared" si="19"/>
        <v>0</v>
      </c>
      <c r="X54" s="7">
        <f t="shared" si="20"/>
        <v>0</v>
      </c>
      <c r="Y54" s="7">
        <f t="shared" si="21"/>
        <v>0</v>
      </c>
      <c r="AA54" s="16">
        <f t="shared" si="9"/>
        <v>0</v>
      </c>
      <c r="AB54" s="16"/>
      <c r="AC54" s="17"/>
    </row>
    <row r="55" spans="1:32" ht="15.75">
      <c r="B55" s="36">
        <f>SUM(B3:B54)</f>
        <v>14066624.442477003</v>
      </c>
      <c r="C55" s="36">
        <f t="shared" ref="C55:G55" si="33">SUM(C3:C54)</f>
        <v>-123012.73999999998</v>
      </c>
      <c r="D55" s="36">
        <f t="shared" si="33"/>
        <v>142.62000000000003</v>
      </c>
      <c r="E55" s="36">
        <f t="shared" si="33"/>
        <v>-122870.12</v>
      </c>
      <c r="F55" s="36">
        <f t="shared" si="33"/>
        <v>-24574.019999999997</v>
      </c>
      <c r="G55" s="36">
        <f t="shared" si="33"/>
        <v>-147444.14000000001</v>
      </c>
      <c r="I55" s="36">
        <f t="shared" ref="I55" si="34">SUM(I3:I54)</f>
        <v>10090.530000000001</v>
      </c>
      <c r="J55" s="36">
        <f t="shared" ref="J55" si="35">SUM(J3:J54)</f>
        <v>3497.2200000000003</v>
      </c>
      <c r="K55" s="36">
        <f t="shared" ref="K55" si="36">SUM(K3:K54)</f>
        <v>2505.6299999999997</v>
      </c>
      <c r="L55" s="36">
        <f t="shared" ref="L55" si="37">SUM(L3:L54)</f>
        <v>1004.61</v>
      </c>
      <c r="M55" s="36">
        <f t="shared" ref="M55" si="38">SUM(M3:M54)</f>
        <v>866.9</v>
      </c>
      <c r="N55" s="36">
        <f t="shared" ref="N55" si="39">SUM(N3:N54)</f>
        <v>17964.89</v>
      </c>
      <c r="O55" s="36">
        <f t="shared" ref="O55" si="40">SUM(O3:O54)</f>
        <v>3592.9800000000005</v>
      </c>
      <c r="P55" s="36">
        <f t="shared" ref="P55" si="41">SUM(P3:P54)</f>
        <v>21557.87</v>
      </c>
      <c r="R55" s="36">
        <f t="shared" ref="R55" si="42">SUM(R3:R54)</f>
        <v>3049.8099999999995</v>
      </c>
      <c r="S55" s="36">
        <f t="shared" ref="S55" si="43">SUM(S3:S54)</f>
        <v>2109.0499999999997</v>
      </c>
      <c r="T55" s="36">
        <f t="shared" ref="T55" si="44">SUM(T3:T54)</f>
        <v>2505.6299999999997</v>
      </c>
      <c r="U55" s="36">
        <f t="shared" ref="U55" si="45">SUM(U3:U54)</f>
        <v>1004.61</v>
      </c>
      <c r="V55" s="36">
        <f t="shared" ref="V55" si="46">SUM(V3:V54)</f>
        <v>341.37</v>
      </c>
      <c r="W55" s="36">
        <f t="shared" ref="W55" si="47">SUM(W3:W54)</f>
        <v>9010.4699999999993</v>
      </c>
      <c r="X55" s="36">
        <f t="shared" ref="X55" si="48">SUM(X3:X54)</f>
        <v>1802.1000000000001</v>
      </c>
      <c r="Y55" s="36">
        <f t="shared" ref="Y55" si="49">SUM(Y3:Y54)</f>
        <v>10812.57</v>
      </c>
      <c r="AA55" s="18">
        <f>SUM(AA3:AA54)</f>
        <v>115073.69999999997</v>
      </c>
      <c r="AB55" s="19"/>
      <c r="AC55" s="36">
        <f t="shared" ref="AC55" si="50">SUM(AC3:AC54)</f>
        <v>1415800.155352805</v>
      </c>
      <c r="AE55" s="17">
        <f>SUM(AE3:AE54)</f>
        <v>14066624.443573527</v>
      </c>
      <c r="AF55" s="35">
        <f>+AE55-B55</f>
        <v>1.0965242981910706E-3</v>
      </c>
    </row>
    <row r="56" spans="1:32">
      <c r="AB56" s="16"/>
    </row>
    <row r="57" spans="1:32" ht="18">
      <c r="A57" s="1"/>
      <c r="B57" s="31"/>
      <c r="C57" s="48" t="s">
        <v>0</v>
      </c>
      <c r="D57" s="48"/>
      <c r="E57" s="48"/>
      <c r="F57" s="48"/>
      <c r="G57" s="48"/>
      <c r="H57" s="48"/>
      <c r="I57" s="49"/>
      <c r="J57" s="49"/>
      <c r="K57" s="49"/>
      <c r="L57" s="49"/>
      <c r="M57" s="49"/>
      <c r="N57" s="49"/>
      <c r="O57" s="49"/>
      <c r="P57" s="49"/>
      <c r="Q57" s="49"/>
      <c r="R57" s="48" t="s">
        <v>128</v>
      </c>
      <c r="S57" s="48"/>
      <c r="T57" s="48"/>
      <c r="U57" s="48"/>
      <c r="V57" s="48"/>
      <c r="W57" s="48"/>
      <c r="X57" s="48"/>
      <c r="Y57" s="48"/>
      <c r="Z57" s="48"/>
      <c r="AB57" s="16"/>
    </row>
    <row r="58" spans="1:32" ht="29.25">
      <c r="A58" s="6" t="s">
        <v>129</v>
      </c>
      <c r="B58" s="32" t="s">
        <v>6</v>
      </c>
      <c r="C58" s="45" t="s">
        <v>130</v>
      </c>
      <c r="D58" s="9" t="s">
        <v>8</v>
      </c>
      <c r="E58" s="9" t="s">
        <v>9</v>
      </c>
      <c r="F58" s="9" t="s">
        <v>10</v>
      </c>
      <c r="G58" s="9" t="s">
        <v>11</v>
      </c>
      <c r="H58" s="20"/>
      <c r="I58" s="21"/>
      <c r="J58" s="21"/>
      <c r="K58" s="21"/>
      <c r="L58" s="21"/>
      <c r="M58" s="21"/>
      <c r="N58" s="21"/>
      <c r="O58" s="21"/>
      <c r="P58" s="21"/>
      <c r="Q58" s="22"/>
      <c r="R58" s="9" t="s">
        <v>131</v>
      </c>
      <c r="S58" s="9" t="s">
        <v>132</v>
      </c>
      <c r="T58" s="9" t="s">
        <v>133</v>
      </c>
      <c r="U58" s="9" t="s">
        <v>15</v>
      </c>
      <c r="V58" s="37" t="s">
        <v>134</v>
      </c>
      <c r="W58" s="9" t="s">
        <v>9</v>
      </c>
      <c r="X58" s="9" t="s">
        <v>10</v>
      </c>
      <c r="Y58" s="9" t="s">
        <v>11</v>
      </c>
      <c r="AA58" s="23" t="s">
        <v>17</v>
      </c>
      <c r="AB58" s="23"/>
      <c r="AC58" s="4" t="s">
        <v>135</v>
      </c>
    </row>
    <row r="59" spans="1:32">
      <c r="A59" s="34">
        <v>45717</v>
      </c>
      <c r="B59" s="33">
        <v>0</v>
      </c>
      <c r="C59" s="12"/>
      <c r="D59" s="12">
        <v>87.35</v>
      </c>
      <c r="E59" s="12">
        <f t="shared" ref="E59" si="51">SUM(C59:D59)</f>
        <v>87.35</v>
      </c>
      <c r="F59" s="12">
        <f t="shared" ref="F59" si="52">ROUND(E59*0.2,2)</f>
        <v>17.47</v>
      </c>
      <c r="G59" s="12">
        <f t="shared" ref="G59" si="53">SUM(E59:F59)</f>
        <v>104.82</v>
      </c>
      <c r="H59" s="13" t="s">
        <v>20</v>
      </c>
      <c r="I59" s="24"/>
      <c r="J59" s="24"/>
      <c r="K59" s="24"/>
      <c r="L59" s="24"/>
      <c r="M59" s="24"/>
      <c r="N59" s="24"/>
      <c r="O59" s="24"/>
      <c r="P59" s="24"/>
      <c r="Q59" s="25"/>
      <c r="R59" s="12">
        <v>5.6</v>
      </c>
      <c r="S59" s="12">
        <v>0.18</v>
      </c>
      <c r="T59" s="12">
        <v>0.37</v>
      </c>
      <c r="U59" s="12">
        <v>1912.23</v>
      </c>
      <c r="V59" s="12">
        <v>0</v>
      </c>
      <c r="W59" s="12">
        <f>SUM(R59:V59)</f>
        <v>1918.38</v>
      </c>
      <c r="X59" s="12">
        <f t="shared" ref="X59" si="54">ROUND(W59*0.2,2)</f>
        <v>383.68</v>
      </c>
      <c r="Y59" s="12">
        <f t="shared" ref="Y59" si="55">SUM(W59:X59)</f>
        <v>2302.06</v>
      </c>
      <c r="Z59" s="26" t="s">
        <v>136</v>
      </c>
      <c r="AA59" s="16">
        <f>-G59-P59-Y59</f>
        <v>-2406.88</v>
      </c>
      <c r="AB59" s="16"/>
      <c r="AC59" s="17">
        <v>0</v>
      </c>
    </row>
    <row r="60" spans="1:32">
      <c r="A60" s="34">
        <v>45748</v>
      </c>
      <c r="B60" s="33">
        <v>0</v>
      </c>
      <c r="C60" s="7">
        <v>-0.02</v>
      </c>
      <c r="D60" s="7">
        <v>3.58</v>
      </c>
      <c r="E60" s="7">
        <f>SUM(C60:D60)</f>
        <v>3.56</v>
      </c>
      <c r="F60" s="7">
        <f>ROUND(E60*0.2,2)</f>
        <v>0.71</v>
      </c>
      <c r="G60" s="7">
        <f>SUM(E60:F60)</f>
        <v>4.2699999999999996</v>
      </c>
      <c r="H60" s="8" t="s">
        <v>22</v>
      </c>
      <c r="I60" s="27"/>
      <c r="J60" s="27"/>
      <c r="K60" s="27"/>
      <c r="L60" s="27"/>
      <c r="M60" s="27"/>
      <c r="N60" s="27"/>
      <c r="O60" s="27"/>
      <c r="P60" s="27"/>
      <c r="Q60" s="28"/>
      <c r="T60" s="7">
        <v>0.03</v>
      </c>
      <c r="U60" s="7">
        <v>49.03</v>
      </c>
      <c r="V60" s="7">
        <v>6382.76</v>
      </c>
      <c r="W60" s="7">
        <f t="shared" ref="W60:W74" si="56">SUM(R60:V60)</f>
        <v>6431.8200000000006</v>
      </c>
      <c r="X60" s="7">
        <f>ROUND(W60*0.2,2)</f>
        <v>1286.3599999999999</v>
      </c>
      <c r="Y60" s="7">
        <f>SUM(W60:X60)</f>
        <v>7718.18</v>
      </c>
      <c r="Z60" s="8" t="s">
        <v>137</v>
      </c>
      <c r="AA60" s="16">
        <f t="shared" ref="AA60:AA80" si="57">-G60-P60-Y60</f>
        <v>-7722.4500000000007</v>
      </c>
      <c r="AB60" s="16"/>
      <c r="AC60" s="17">
        <v>0</v>
      </c>
    </row>
    <row r="61" spans="1:32">
      <c r="A61" s="34">
        <v>45778</v>
      </c>
      <c r="B61" s="33">
        <v>0</v>
      </c>
      <c r="D61" s="7">
        <v>3.7</v>
      </c>
      <c r="E61" s="7">
        <f t="shared" ref="E61:E74" si="58">SUM(C61:D61)</f>
        <v>3.7</v>
      </c>
      <c r="F61" s="7">
        <f t="shared" ref="F61:F73" si="59">ROUND(E61*0.2,2)</f>
        <v>0.74</v>
      </c>
      <c r="G61" s="7">
        <f t="shared" ref="G61:G74" si="60">SUM(E61:F61)</f>
        <v>4.4400000000000004</v>
      </c>
      <c r="H61" s="8" t="s">
        <v>26</v>
      </c>
      <c r="I61" s="27"/>
      <c r="J61" s="27"/>
      <c r="K61" s="27"/>
      <c r="L61" s="27"/>
      <c r="M61" s="27"/>
      <c r="N61" s="27"/>
      <c r="O61" s="27"/>
      <c r="P61" s="27"/>
      <c r="Q61" s="28"/>
      <c r="R61" s="7">
        <v>0</v>
      </c>
      <c r="S61" s="7">
        <v>0</v>
      </c>
      <c r="T61" s="7">
        <v>0</v>
      </c>
      <c r="U61" s="7">
        <v>50.67</v>
      </c>
      <c r="V61" s="7">
        <v>6595.52</v>
      </c>
      <c r="W61" s="7">
        <f t="shared" si="56"/>
        <v>6646.1900000000005</v>
      </c>
      <c r="X61" s="7">
        <f t="shared" ref="X61:X74" si="61">ROUND(W61*0.2,2)</f>
        <v>1329.24</v>
      </c>
      <c r="Y61" s="7">
        <f t="shared" ref="Y61:Y74" si="62">SUM(W61:X61)</f>
        <v>7975.43</v>
      </c>
      <c r="Z61" s="8" t="s">
        <v>138</v>
      </c>
      <c r="AA61" s="16">
        <f t="shared" si="57"/>
        <v>-7979.87</v>
      </c>
      <c r="AB61" s="16"/>
      <c r="AC61" s="17">
        <v>0</v>
      </c>
    </row>
    <row r="62" spans="1:32">
      <c r="A62" s="34">
        <v>45809</v>
      </c>
      <c r="B62" s="33">
        <v>0</v>
      </c>
      <c r="C62" s="7">
        <v>0</v>
      </c>
      <c r="D62" s="7">
        <v>3.58</v>
      </c>
      <c r="E62" s="7">
        <f t="shared" si="58"/>
        <v>3.58</v>
      </c>
      <c r="F62" s="7">
        <f t="shared" si="59"/>
        <v>0.72</v>
      </c>
      <c r="G62" s="7">
        <f t="shared" si="60"/>
        <v>4.3</v>
      </c>
      <c r="H62" s="8" t="s">
        <v>30</v>
      </c>
      <c r="I62" s="27"/>
      <c r="J62" s="27"/>
      <c r="K62" s="27"/>
      <c r="L62" s="27"/>
      <c r="M62" s="27"/>
      <c r="N62" s="27"/>
      <c r="O62" s="27"/>
      <c r="P62" s="27"/>
      <c r="Q62" s="28"/>
      <c r="R62" s="7">
        <v>0</v>
      </c>
      <c r="S62" s="7">
        <v>0</v>
      </c>
      <c r="T62" s="7">
        <v>0</v>
      </c>
      <c r="U62" s="7">
        <v>49.03</v>
      </c>
      <c r="V62" s="7">
        <v>6382.76</v>
      </c>
      <c r="W62" s="7">
        <f t="shared" si="56"/>
        <v>6431.79</v>
      </c>
      <c r="X62" s="7">
        <f t="shared" si="61"/>
        <v>1286.3599999999999</v>
      </c>
      <c r="Y62" s="7">
        <f t="shared" si="62"/>
        <v>7718.15</v>
      </c>
      <c r="Z62" s="8" t="s">
        <v>139</v>
      </c>
      <c r="AA62" s="16">
        <f t="shared" si="57"/>
        <v>-7722.45</v>
      </c>
      <c r="AB62" s="16"/>
      <c r="AC62" s="17">
        <v>0</v>
      </c>
    </row>
    <row r="63" spans="1:32">
      <c r="A63" s="34">
        <v>45839</v>
      </c>
      <c r="B63" s="33">
        <v>52076.5</v>
      </c>
      <c r="C63" s="7">
        <f>-761.8-189.27-0.62</f>
        <v>-951.68999999999994</v>
      </c>
      <c r="D63" s="7">
        <v>3.7</v>
      </c>
      <c r="E63" s="7">
        <f t="shared" si="58"/>
        <v>-947.9899999999999</v>
      </c>
      <c r="F63" s="7">
        <f t="shared" si="59"/>
        <v>-189.6</v>
      </c>
      <c r="G63" s="7">
        <f t="shared" si="60"/>
        <v>-1137.5899999999999</v>
      </c>
      <c r="H63" s="8" t="s">
        <v>34</v>
      </c>
      <c r="I63" s="27"/>
      <c r="J63" s="27"/>
      <c r="K63" s="27"/>
      <c r="L63" s="27"/>
      <c r="M63" s="27"/>
      <c r="N63" s="27"/>
      <c r="O63" s="27"/>
      <c r="P63" s="27"/>
      <c r="Q63" s="28"/>
      <c r="R63" s="7">
        <v>422.58</v>
      </c>
      <c r="S63" s="7">
        <v>110.43</v>
      </c>
      <c r="T63" s="7">
        <v>0</v>
      </c>
      <c r="U63" s="7">
        <v>50.67</v>
      </c>
      <c r="V63" s="7">
        <v>6595.52</v>
      </c>
      <c r="W63" s="7">
        <f t="shared" si="56"/>
        <v>7179.2000000000007</v>
      </c>
      <c r="X63" s="7">
        <f t="shared" si="61"/>
        <v>1435.84</v>
      </c>
      <c r="Y63" s="7">
        <f t="shared" si="62"/>
        <v>8615.0400000000009</v>
      </c>
      <c r="Z63" s="8" t="s">
        <v>140</v>
      </c>
      <c r="AA63" s="16">
        <f t="shared" si="57"/>
        <v>-7477.4500000000007</v>
      </c>
      <c r="AB63" s="16"/>
      <c r="AC63" s="17">
        <v>0</v>
      </c>
    </row>
    <row r="64" spans="1:32">
      <c r="A64" s="34">
        <v>45870</v>
      </c>
      <c r="B64" s="33">
        <v>32008.5</v>
      </c>
      <c r="C64" s="7">
        <f>-241.02-127.33-1.96</f>
        <v>-370.31</v>
      </c>
      <c r="D64" s="7">
        <v>3.7</v>
      </c>
      <c r="E64" s="7">
        <f t="shared" si="58"/>
        <v>-366.61</v>
      </c>
      <c r="F64" s="7">
        <f t="shared" si="59"/>
        <v>-73.319999999999993</v>
      </c>
      <c r="G64" s="7">
        <f t="shared" si="60"/>
        <v>-439.93</v>
      </c>
      <c r="H64" s="8" t="s">
        <v>38</v>
      </c>
      <c r="I64" s="27"/>
      <c r="J64" s="27"/>
      <c r="K64" s="27"/>
      <c r="L64" s="27"/>
      <c r="M64" s="27"/>
      <c r="N64" s="27"/>
      <c r="O64" s="27"/>
      <c r="P64" s="27"/>
      <c r="Q64" s="28"/>
      <c r="R64" s="7">
        <v>7.49</v>
      </c>
      <c r="S64" s="7">
        <v>77.8</v>
      </c>
      <c r="T64" s="7">
        <v>0.03</v>
      </c>
      <c r="U64" s="7">
        <v>50.67</v>
      </c>
      <c r="V64" s="7">
        <v>6595.52</v>
      </c>
      <c r="W64" s="7">
        <f t="shared" si="56"/>
        <v>6731.51</v>
      </c>
      <c r="X64" s="7">
        <f t="shared" si="61"/>
        <v>1346.3</v>
      </c>
      <c r="Y64" s="7">
        <f t="shared" si="62"/>
        <v>8077.81</v>
      </c>
      <c r="Z64" s="8" t="s">
        <v>141</v>
      </c>
      <c r="AA64" s="16">
        <f t="shared" si="57"/>
        <v>-7637.88</v>
      </c>
      <c r="AB64" s="16"/>
      <c r="AC64" s="17">
        <f>18187.22+153.97</f>
        <v>18341.190000000002</v>
      </c>
    </row>
    <row r="65" spans="1:30">
      <c r="A65" s="34">
        <v>45901</v>
      </c>
      <c r="B65" s="33">
        <v>146064.5</v>
      </c>
      <c r="C65" s="7">
        <f>-322.81-410.03-43.94</f>
        <v>-776.78</v>
      </c>
      <c r="D65" s="7">
        <v>3.58</v>
      </c>
      <c r="E65" s="7">
        <f t="shared" si="58"/>
        <v>-773.19999999999993</v>
      </c>
      <c r="F65" s="7">
        <f t="shared" si="59"/>
        <v>-154.63999999999999</v>
      </c>
      <c r="G65" s="7">
        <f t="shared" si="60"/>
        <v>-927.83999999999992</v>
      </c>
      <c r="H65" s="8" t="s">
        <v>42</v>
      </c>
      <c r="I65" s="27"/>
      <c r="J65" s="27"/>
      <c r="K65" s="27"/>
      <c r="L65" s="27"/>
      <c r="M65" s="27"/>
      <c r="N65" s="27"/>
      <c r="O65" s="27"/>
      <c r="P65" s="27"/>
      <c r="Q65" s="28"/>
      <c r="R65" s="7">
        <v>759.99</v>
      </c>
      <c r="S65" s="7">
        <v>393.72</v>
      </c>
      <c r="T65" s="7">
        <v>78.03</v>
      </c>
      <c r="U65" s="7">
        <v>50.67</v>
      </c>
      <c r="V65" s="7">
        <v>6595.52</v>
      </c>
      <c r="W65" s="7">
        <f t="shared" si="56"/>
        <v>7877.93</v>
      </c>
      <c r="X65" s="7">
        <f t="shared" si="61"/>
        <v>1575.59</v>
      </c>
      <c r="Y65" s="7">
        <f t="shared" si="62"/>
        <v>9453.52</v>
      </c>
      <c r="Z65" s="8" t="s">
        <v>142</v>
      </c>
      <c r="AA65" s="16">
        <f t="shared" si="57"/>
        <v>-8525.68</v>
      </c>
      <c r="AB65" s="16"/>
      <c r="AC65" s="17">
        <f>2729.82+6687.2+16305.39-12072.75+27.05</f>
        <v>13676.71</v>
      </c>
    </row>
    <row r="66" spans="1:30">
      <c r="A66" s="34">
        <v>45931</v>
      </c>
      <c r="B66" s="33">
        <v>214996.5</v>
      </c>
      <c r="C66" s="12">
        <f>-5500.11-268.35-42.92</f>
        <v>-5811.38</v>
      </c>
      <c r="D66" s="12">
        <v>3.7</v>
      </c>
      <c r="E66" s="12">
        <f t="shared" si="58"/>
        <v>-5807.68</v>
      </c>
      <c r="F66" s="12">
        <f t="shared" si="59"/>
        <v>-1161.54</v>
      </c>
      <c r="G66" s="12">
        <f t="shared" si="60"/>
        <v>-6969.22</v>
      </c>
      <c r="H66" s="8" t="s">
        <v>45</v>
      </c>
      <c r="I66" s="27"/>
      <c r="J66" s="27"/>
      <c r="K66" s="27"/>
      <c r="L66" s="27"/>
      <c r="M66" s="27"/>
      <c r="N66" s="27"/>
      <c r="O66" s="27"/>
      <c r="P66" s="27"/>
      <c r="Q66" s="28"/>
      <c r="R66" s="7">
        <v>2735.17</v>
      </c>
      <c r="S66" s="7">
        <v>186.71</v>
      </c>
      <c r="T66" s="7">
        <v>9.84</v>
      </c>
      <c r="U66" s="7">
        <v>49.03</v>
      </c>
      <c r="V66" s="7">
        <v>6382.76</v>
      </c>
      <c r="W66" s="7">
        <f t="shared" si="56"/>
        <v>9363.51</v>
      </c>
      <c r="X66" s="7">
        <f t="shared" si="61"/>
        <v>1872.7</v>
      </c>
      <c r="Y66" s="7">
        <f t="shared" si="62"/>
        <v>11236.210000000001</v>
      </c>
      <c r="Z66" s="8" t="s">
        <v>143</v>
      </c>
      <c r="AA66" s="16">
        <f t="shared" si="57"/>
        <v>-4266.9900000000007</v>
      </c>
      <c r="AB66" s="16"/>
      <c r="AC66" s="17">
        <f>12619.08+26930.41-2844.32-755.03+448.53</f>
        <v>36398.67</v>
      </c>
    </row>
    <row r="67" spans="1:30">
      <c r="A67" s="34">
        <v>45962</v>
      </c>
      <c r="B67" s="33">
        <v>180692</v>
      </c>
      <c r="C67" s="12">
        <f>-5379.73-106.41-42.54</f>
        <v>-5528.6799999999994</v>
      </c>
      <c r="D67" s="12">
        <v>3.58</v>
      </c>
      <c r="E67" s="12">
        <f t="shared" si="58"/>
        <v>-5525.0999999999995</v>
      </c>
      <c r="F67" s="12">
        <f t="shared" si="59"/>
        <v>-1105.02</v>
      </c>
      <c r="G67" s="12">
        <f t="shared" si="60"/>
        <v>-6630.119999999999</v>
      </c>
      <c r="H67" s="8" t="s">
        <v>48</v>
      </c>
      <c r="I67" s="27"/>
      <c r="J67" s="27"/>
      <c r="K67" s="27"/>
      <c r="L67" s="27"/>
      <c r="M67" s="27"/>
      <c r="N67" s="27"/>
      <c r="O67" s="27"/>
      <c r="P67" s="27"/>
      <c r="Q67" s="28"/>
      <c r="R67" s="7">
        <v>66.2</v>
      </c>
      <c r="S67" s="7">
        <v>178.48</v>
      </c>
      <c r="T67" s="7">
        <v>102.9</v>
      </c>
      <c r="U67" s="7">
        <v>49.03</v>
      </c>
      <c r="V67" s="7">
        <v>6382.76</v>
      </c>
      <c r="W67" s="7">
        <f t="shared" si="56"/>
        <v>6779.37</v>
      </c>
      <c r="X67" s="7">
        <f t="shared" si="61"/>
        <v>1355.87</v>
      </c>
      <c r="Y67" s="7">
        <f t="shared" si="62"/>
        <v>8135.24</v>
      </c>
      <c r="Z67" s="8" t="s">
        <v>144</v>
      </c>
      <c r="AA67" s="16">
        <f t="shared" si="57"/>
        <v>-1505.1200000000008</v>
      </c>
      <c r="AB67" s="16"/>
      <c r="AC67" s="17">
        <f>886.86+5293.11+19927.2-2103.78+107.99-101.05</f>
        <v>24010.33</v>
      </c>
    </row>
    <row r="68" spans="1:30">
      <c r="A68" s="34">
        <v>45992</v>
      </c>
      <c r="B68" s="33">
        <v>171781.5</v>
      </c>
      <c r="C68" s="12">
        <f>-6926.5-39.81-24.15</f>
        <v>-6990.46</v>
      </c>
      <c r="D68" s="12">
        <v>3.7</v>
      </c>
      <c r="E68" s="12">
        <f t="shared" si="58"/>
        <v>-6986.76</v>
      </c>
      <c r="F68" s="12">
        <f t="shared" si="59"/>
        <v>-1397.35</v>
      </c>
      <c r="G68" s="12">
        <f t="shared" si="60"/>
        <v>-8384.11</v>
      </c>
      <c r="H68" s="8" t="s">
        <v>51</v>
      </c>
      <c r="I68" s="27"/>
      <c r="J68" s="27"/>
      <c r="K68" s="27"/>
      <c r="L68" s="27"/>
      <c r="M68" s="27"/>
      <c r="N68" s="27"/>
      <c r="O68" s="27"/>
      <c r="P68" s="27"/>
      <c r="Q68" s="28"/>
      <c r="R68" s="7">
        <v>93.35</v>
      </c>
      <c r="S68" s="7">
        <v>116.93</v>
      </c>
      <c r="T68" s="7">
        <v>102.2</v>
      </c>
      <c r="U68" s="7">
        <v>50.67</v>
      </c>
      <c r="V68" s="7">
        <v>6595.52</v>
      </c>
      <c r="W68" s="7">
        <f t="shared" si="56"/>
        <v>6958.67</v>
      </c>
      <c r="X68" s="7">
        <f t="shared" si="61"/>
        <v>1391.73</v>
      </c>
      <c r="Y68" s="7">
        <f t="shared" si="62"/>
        <v>8350.4</v>
      </c>
      <c r="Z68" s="8" t="s">
        <v>145</v>
      </c>
      <c r="AA68" s="16">
        <f t="shared" si="57"/>
        <v>33.710000000000946</v>
      </c>
      <c r="AB68" s="16"/>
      <c r="AC68" s="17">
        <f>-1914.19+5762.03+19300.25-75.16-258.98-129.66</f>
        <v>22684.29</v>
      </c>
    </row>
    <row r="69" spans="1:30">
      <c r="A69" s="34">
        <v>46023</v>
      </c>
      <c r="B69" s="33">
        <v>144006.5</v>
      </c>
      <c r="C69" s="12">
        <f>-4051.69-153.69-27.37</f>
        <v>-4232.75</v>
      </c>
      <c r="D69" s="12">
        <v>3.7</v>
      </c>
      <c r="E69" s="12">
        <f t="shared" si="58"/>
        <v>-4229.05</v>
      </c>
      <c r="F69" s="12">
        <f t="shared" si="59"/>
        <v>-845.81</v>
      </c>
      <c r="G69" s="12">
        <f t="shared" si="60"/>
        <v>-5074.8600000000006</v>
      </c>
      <c r="H69" s="8" t="s">
        <v>54</v>
      </c>
      <c r="I69" s="27"/>
      <c r="J69" s="27"/>
      <c r="K69" s="27"/>
      <c r="L69" s="27"/>
      <c r="M69" s="27"/>
      <c r="N69" s="27"/>
      <c r="O69" s="27"/>
      <c r="P69" s="27"/>
      <c r="Q69" s="28"/>
      <c r="R69" s="7">
        <v>191.14</v>
      </c>
      <c r="S69" s="7">
        <v>250.59</v>
      </c>
      <c r="T69" s="7">
        <v>97.86</v>
      </c>
      <c r="U69" s="7">
        <v>50.67</v>
      </c>
      <c r="V69" s="7">
        <v>6595.52</v>
      </c>
      <c r="W69" s="7">
        <f t="shared" si="56"/>
        <v>7185.7800000000007</v>
      </c>
      <c r="X69" s="7">
        <f t="shared" si="61"/>
        <v>1437.16</v>
      </c>
      <c r="Y69" s="7">
        <f t="shared" si="62"/>
        <v>8622.94</v>
      </c>
      <c r="Z69" s="8" t="s">
        <v>146</v>
      </c>
      <c r="AA69" s="16">
        <f t="shared" si="57"/>
        <v>-3548.08</v>
      </c>
      <c r="AB69" s="16"/>
      <c r="AC69" s="17">
        <v>26454.400000000001</v>
      </c>
    </row>
    <row r="70" spans="1:30">
      <c r="A70" s="34">
        <v>46054</v>
      </c>
      <c r="B70" s="33">
        <v>197821.5</v>
      </c>
      <c r="C70" s="12">
        <f>-6514.96-105.99-39.44</f>
        <v>-6660.3899999999994</v>
      </c>
      <c r="D70" s="12">
        <v>3.34</v>
      </c>
      <c r="E70" s="12">
        <f t="shared" si="58"/>
        <v>-6657.0499999999993</v>
      </c>
      <c r="F70" s="12">
        <f t="shared" si="59"/>
        <v>-1331.41</v>
      </c>
      <c r="G70" s="12">
        <f t="shared" si="60"/>
        <v>-7988.4599999999991</v>
      </c>
      <c r="H70" s="8" t="s">
        <v>147</v>
      </c>
      <c r="I70" s="27"/>
      <c r="J70" s="27"/>
      <c r="K70" s="27"/>
      <c r="L70" s="27"/>
      <c r="M70" s="27"/>
      <c r="N70" s="27"/>
      <c r="O70" s="27"/>
      <c r="P70" s="27"/>
      <c r="Q70" s="28"/>
      <c r="R70" s="7">
        <v>88.43</v>
      </c>
      <c r="S70" s="7">
        <v>150.53</v>
      </c>
      <c r="T70" s="7">
        <v>115.98</v>
      </c>
      <c r="U70" s="7">
        <v>45.76</v>
      </c>
      <c r="V70" s="7">
        <v>5957.24</v>
      </c>
      <c r="W70" s="7">
        <f t="shared" si="56"/>
        <v>6357.94</v>
      </c>
      <c r="X70" s="7">
        <f t="shared" si="61"/>
        <v>1271.5899999999999</v>
      </c>
      <c r="Y70" s="7">
        <f t="shared" si="62"/>
        <v>7629.53</v>
      </c>
      <c r="Z70" s="8" t="s">
        <v>148</v>
      </c>
      <c r="AA70" s="16">
        <f>-G70-P70-Y70</f>
        <v>358.92999999999938</v>
      </c>
      <c r="AB70" s="16"/>
      <c r="AC70" s="17">
        <f>20809.59</f>
        <v>20809.59</v>
      </c>
    </row>
    <row r="71" spans="1:30">
      <c r="A71" s="34">
        <v>46082</v>
      </c>
      <c r="B71" s="33">
        <v>267660</v>
      </c>
      <c r="C71" s="12">
        <f>-6949.08-344.92-50.49</f>
        <v>-7344.49</v>
      </c>
      <c r="D71" s="12">
        <v>3.7</v>
      </c>
      <c r="E71" s="12">
        <f t="shared" si="58"/>
        <v>-7340.79</v>
      </c>
      <c r="F71" s="12">
        <f t="shared" si="59"/>
        <v>-1468.16</v>
      </c>
      <c r="G71" s="12">
        <f t="shared" si="60"/>
        <v>-8808.9500000000007</v>
      </c>
      <c r="H71" s="8" t="s">
        <v>149</v>
      </c>
      <c r="I71" s="27"/>
      <c r="J71" s="27"/>
      <c r="K71" s="27"/>
      <c r="L71" s="27"/>
      <c r="M71" s="27"/>
      <c r="N71" s="27"/>
      <c r="O71" s="27"/>
      <c r="P71" s="27"/>
      <c r="Q71" s="28"/>
      <c r="R71" s="7">
        <v>0.28999999999999998</v>
      </c>
      <c r="S71" s="7">
        <v>607.38</v>
      </c>
      <c r="T71" s="7">
        <v>100.78</v>
      </c>
      <c r="U71" s="7">
        <v>50.67</v>
      </c>
      <c r="V71" s="7">
        <v>6595.52</v>
      </c>
      <c r="W71" s="7">
        <f t="shared" si="56"/>
        <v>7354.64</v>
      </c>
      <c r="X71" s="7">
        <f t="shared" si="61"/>
        <v>1470.93</v>
      </c>
      <c r="Y71" s="7">
        <f t="shared" si="62"/>
        <v>8825.57</v>
      </c>
      <c r="Z71" s="8" t="s">
        <v>150</v>
      </c>
      <c r="AA71" s="16">
        <f>-G71-P71-Y71</f>
        <v>-16.619999999998981</v>
      </c>
      <c r="AB71" s="16"/>
      <c r="AC71" s="17">
        <v>28291</v>
      </c>
    </row>
    <row r="72" spans="1:30">
      <c r="A72" s="34">
        <v>46113</v>
      </c>
      <c r="B72" s="33">
        <v>283335</v>
      </c>
      <c r="C72" s="12">
        <f>-5974.31-572.72-37.22</f>
        <v>-6584.2500000000009</v>
      </c>
      <c r="D72" s="12">
        <v>3.86</v>
      </c>
      <c r="E72" s="12">
        <f t="shared" si="58"/>
        <v>-6580.3900000000012</v>
      </c>
      <c r="F72" s="12">
        <f t="shared" si="59"/>
        <v>-1316.08</v>
      </c>
      <c r="G72" s="12">
        <f t="shared" si="60"/>
        <v>-7896.4700000000012</v>
      </c>
      <c r="H72" s="8" t="s">
        <v>151</v>
      </c>
      <c r="I72" s="27"/>
      <c r="J72" s="27"/>
      <c r="K72" s="27"/>
      <c r="L72" s="27"/>
      <c r="M72" s="27"/>
      <c r="N72" s="27"/>
      <c r="O72" s="27"/>
      <c r="P72" s="27"/>
      <c r="Q72" s="28"/>
      <c r="R72" s="7">
        <v>234.74</v>
      </c>
      <c r="S72" s="7">
        <v>701.1</v>
      </c>
      <c r="T72" s="7">
        <v>65.260000000000005</v>
      </c>
      <c r="U72" s="7">
        <v>54.51</v>
      </c>
      <c r="V72" s="7">
        <v>6658.44</v>
      </c>
      <c r="W72" s="7">
        <f t="shared" si="56"/>
        <v>7714.0499999999993</v>
      </c>
      <c r="X72" s="7">
        <f t="shared" si="61"/>
        <v>1542.81</v>
      </c>
      <c r="Y72" s="7">
        <f t="shared" si="62"/>
        <v>9256.8599999999988</v>
      </c>
      <c r="Z72" s="8" t="s">
        <v>152</v>
      </c>
      <c r="AA72" s="16">
        <f>-G72-P72-Y72</f>
        <v>-1360.3899999999976</v>
      </c>
      <c r="AB72" s="16"/>
      <c r="AC72" s="17">
        <v>28505</v>
      </c>
    </row>
    <row r="73" spans="1:30">
      <c r="A73" s="34">
        <v>46143</v>
      </c>
      <c r="B73" s="33">
        <v>162929</v>
      </c>
      <c r="C73" s="12">
        <f>-4010.35-243.98-23.88</f>
        <v>-4278.21</v>
      </c>
      <c r="D73" s="12">
        <v>3.99</v>
      </c>
      <c r="E73" s="12">
        <f t="shared" si="58"/>
        <v>-4274.22</v>
      </c>
      <c r="F73" s="12">
        <f t="shared" si="59"/>
        <v>-854.84</v>
      </c>
      <c r="G73" s="12">
        <f t="shared" si="60"/>
        <v>-5129.0600000000004</v>
      </c>
      <c r="H73" s="8" t="s">
        <v>153</v>
      </c>
      <c r="I73" s="27"/>
      <c r="J73" s="27"/>
      <c r="K73" s="27"/>
      <c r="L73" s="27"/>
      <c r="M73" s="27"/>
      <c r="N73" s="27"/>
      <c r="O73" s="27"/>
      <c r="P73" s="27"/>
      <c r="Q73" s="28"/>
      <c r="R73" s="7">
        <v>64.040000000000006</v>
      </c>
      <c r="S73" s="7">
        <v>489.59</v>
      </c>
      <c r="T73" s="7">
        <v>32.68</v>
      </c>
      <c r="U73" s="7">
        <v>56.33</v>
      </c>
      <c r="V73" s="7">
        <v>6880.39</v>
      </c>
      <c r="W73" s="7">
        <f t="shared" si="56"/>
        <v>7523.0300000000007</v>
      </c>
      <c r="X73" s="7">
        <f t="shared" si="61"/>
        <v>1504.61</v>
      </c>
      <c r="Y73" s="7">
        <f t="shared" si="62"/>
        <v>9027.6400000000012</v>
      </c>
      <c r="Z73" s="8" t="s">
        <v>154</v>
      </c>
      <c r="AA73" s="16">
        <f>-G73-P73-Y73</f>
        <v>-3898.5800000000008</v>
      </c>
      <c r="AB73" s="16"/>
      <c r="AC73" s="17">
        <v>24063.63</v>
      </c>
    </row>
    <row r="74" spans="1:30">
      <c r="A74" s="34">
        <v>46174</v>
      </c>
      <c r="B74" s="33">
        <v>76518.5</v>
      </c>
      <c r="C74" s="12">
        <f>-2475.14-109.73-6.03-14786.98</f>
        <v>-17377.88</v>
      </c>
      <c r="D74" s="12">
        <v>3.86</v>
      </c>
      <c r="E74" s="12">
        <f t="shared" si="58"/>
        <v>-17374.02</v>
      </c>
      <c r="F74" s="12">
        <f>ROUND((E74+14786.98)*0.2,2)</f>
        <v>-517.41</v>
      </c>
      <c r="G74" s="12">
        <f t="shared" si="60"/>
        <v>-17891.43</v>
      </c>
      <c r="H74" s="8" t="s">
        <v>155</v>
      </c>
      <c r="I74" s="27"/>
      <c r="J74" s="27"/>
      <c r="K74" s="27"/>
      <c r="L74" s="27"/>
      <c r="M74" s="27"/>
      <c r="N74" s="27"/>
      <c r="O74" s="27"/>
      <c r="P74" s="27"/>
      <c r="Q74" s="28"/>
      <c r="R74" s="7">
        <v>43.19</v>
      </c>
      <c r="S74" s="7">
        <v>245.05</v>
      </c>
      <c r="T74" s="7">
        <v>18.82</v>
      </c>
      <c r="U74" s="7">
        <v>54.51</v>
      </c>
      <c r="V74" s="7">
        <v>6658.44</v>
      </c>
      <c r="W74" s="7">
        <f t="shared" si="56"/>
        <v>7020.0099999999993</v>
      </c>
      <c r="X74" s="7">
        <f t="shared" si="61"/>
        <v>1404</v>
      </c>
      <c r="Y74" s="7">
        <f t="shared" si="62"/>
        <v>8424.0099999999984</v>
      </c>
      <c r="Z74" s="8" t="s">
        <v>156</v>
      </c>
      <c r="AA74" s="16">
        <f t="shared" si="57"/>
        <v>9467.4200000000019</v>
      </c>
      <c r="AB74" s="16"/>
      <c r="AC74" s="17">
        <v>12517.63</v>
      </c>
      <c r="AD74" s="46"/>
    </row>
    <row r="75" spans="1:30">
      <c r="A75" s="34">
        <v>46204</v>
      </c>
      <c r="C75" s="12"/>
      <c r="D75" s="12"/>
      <c r="E75" s="12"/>
      <c r="F75" s="12">
        <f t="shared" ref="F75:F80" si="63">ROUND(E75*0.2,2)</f>
        <v>0</v>
      </c>
      <c r="G75" s="12">
        <f t="shared" ref="G75:G80" si="64">SUM(E75:F75)</f>
        <v>0</v>
      </c>
      <c r="H75" s="8" t="s">
        <v>157</v>
      </c>
      <c r="I75" s="27"/>
      <c r="J75" s="27"/>
      <c r="K75" s="27"/>
      <c r="L75" s="27"/>
      <c r="M75" s="27"/>
      <c r="N75" s="27"/>
      <c r="O75" s="27"/>
      <c r="P75" s="27"/>
      <c r="Q75" s="28"/>
      <c r="Z75" s="8" t="s">
        <v>158</v>
      </c>
      <c r="AA75" s="16">
        <f t="shared" si="57"/>
        <v>0</v>
      </c>
      <c r="AB75" s="16"/>
      <c r="AC75" s="17">
        <v>15226.1</v>
      </c>
    </row>
    <row r="76" spans="1:30">
      <c r="A76" s="34">
        <v>46235</v>
      </c>
      <c r="C76" s="12"/>
      <c r="D76" s="12"/>
      <c r="E76" s="12"/>
      <c r="F76" s="12">
        <f t="shared" si="63"/>
        <v>0</v>
      </c>
      <c r="G76" s="12">
        <f t="shared" si="64"/>
        <v>0</v>
      </c>
      <c r="H76" s="8" t="s">
        <v>159</v>
      </c>
      <c r="I76" s="27"/>
      <c r="J76" s="27"/>
      <c r="K76" s="27"/>
      <c r="L76" s="27"/>
      <c r="M76" s="27"/>
      <c r="N76" s="27"/>
      <c r="O76" s="27"/>
      <c r="P76" s="27"/>
      <c r="Q76" s="28"/>
      <c r="Z76" s="8" t="s">
        <v>160</v>
      </c>
      <c r="AA76" s="16">
        <f t="shared" si="57"/>
        <v>0</v>
      </c>
      <c r="AB76" s="16"/>
      <c r="AC76" s="17"/>
    </row>
    <row r="77" spans="1:30">
      <c r="A77" s="34">
        <v>46266</v>
      </c>
      <c r="C77" s="12"/>
      <c r="D77" s="12"/>
      <c r="E77" s="12"/>
      <c r="F77" s="12">
        <f t="shared" si="63"/>
        <v>0</v>
      </c>
      <c r="G77" s="12">
        <f t="shared" si="64"/>
        <v>0</v>
      </c>
      <c r="H77" s="8" t="s">
        <v>161</v>
      </c>
      <c r="I77" s="27"/>
      <c r="J77" s="27"/>
      <c r="K77" s="27"/>
      <c r="L77" s="27"/>
      <c r="M77" s="27"/>
      <c r="N77" s="27"/>
      <c r="O77" s="27"/>
      <c r="P77" s="27"/>
      <c r="Q77" s="28"/>
      <c r="Z77" s="8" t="s">
        <v>162</v>
      </c>
      <c r="AA77" s="16">
        <f t="shared" si="57"/>
        <v>0</v>
      </c>
      <c r="AB77" s="16"/>
      <c r="AC77" s="17"/>
    </row>
    <row r="78" spans="1:30">
      <c r="A78" s="34">
        <v>46296</v>
      </c>
      <c r="C78" s="12"/>
      <c r="D78" s="12"/>
      <c r="E78" s="12"/>
      <c r="F78" s="12">
        <f t="shared" si="63"/>
        <v>0</v>
      </c>
      <c r="G78" s="12">
        <f t="shared" si="64"/>
        <v>0</v>
      </c>
      <c r="H78" s="8" t="s">
        <v>163</v>
      </c>
      <c r="I78" s="27"/>
      <c r="J78" s="27"/>
      <c r="K78" s="27"/>
      <c r="L78" s="27"/>
      <c r="M78" s="27"/>
      <c r="N78" s="27"/>
      <c r="O78" s="27"/>
      <c r="P78" s="27"/>
      <c r="Q78" s="28"/>
      <c r="Z78" s="8" t="s">
        <v>164</v>
      </c>
      <c r="AA78" s="16">
        <f t="shared" si="57"/>
        <v>0</v>
      </c>
      <c r="AB78" s="16"/>
      <c r="AC78" s="17"/>
    </row>
    <row r="79" spans="1:30">
      <c r="A79" s="34">
        <v>46327</v>
      </c>
      <c r="C79" s="12"/>
      <c r="D79" s="12"/>
      <c r="E79" s="12"/>
      <c r="F79" s="12">
        <f t="shared" si="63"/>
        <v>0</v>
      </c>
      <c r="G79" s="12">
        <f t="shared" si="64"/>
        <v>0</v>
      </c>
      <c r="I79" s="27"/>
      <c r="J79" s="27"/>
      <c r="K79" s="27"/>
      <c r="L79" s="27"/>
      <c r="M79" s="27"/>
      <c r="N79" s="27"/>
      <c r="O79" s="27"/>
      <c r="P79" s="27"/>
      <c r="Q79" s="28"/>
      <c r="Z79" s="8" t="s">
        <v>165</v>
      </c>
      <c r="AA79" s="16">
        <f t="shared" si="57"/>
        <v>0</v>
      </c>
      <c r="AB79" s="16"/>
      <c r="AC79" s="17"/>
    </row>
    <row r="80" spans="1:30">
      <c r="A80" s="34">
        <v>46357</v>
      </c>
      <c r="C80" s="12"/>
      <c r="D80" s="12"/>
      <c r="E80" s="12"/>
      <c r="F80" s="12">
        <f t="shared" si="63"/>
        <v>0</v>
      </c>
      <c r="G80" s="12">
        <f t="shared" si="64"/>
        <v>0</v>
      </c>
      <c r="I80" s="27"/>
      <c r="J80" s="27"/>
      <c r="K80" s="27"/>
      <c r="L80" s="27"/>
      <c r="M80" s="27"/>
      <c r="N80" s="27"/>
      <c r="O80" s="27"/>
      <c r="P80" s="27"/>
      <c r="Q80" s="28"/>
      <c r="AA80" s="16">
        <f t="shared" si="57"/>
        <v>0</v>
      </c>
      <c r="AB80" s="16"/>
      <c r="AC80" s="17"/>
    </row>
    <row r="81" spans="2:29" ht="15.75">
      <c r="B81" s="36">
        <f t="shared" ref="B81:G81" si="65">SUM(B59:B80)</f>
        <v>1929890</v>
      </c>
      <c r="C81" s="36">
        <f t="shared" si="65"/>
        <v>-66907.289999999994</v>
      </c>
      <c r="D81" s="36">
        <f t="shared" si="65"/>
        <v>142.62000000000003</v>
      </c>
      <c r="E81" s="36">
        <f t="shared" si="65"/>
        <v>-66764.67</v>
      </c>
      <c r="F81" s="36">
        <f t="shared" si="65"/>
        <v>-10395.539999999999</v>
      </c>
      <c r="G81" s="36">
        <f t="shared" si="65"/>
        <v>-77160.209999999992</v>
      </c>
      <c r="I81" s="29"/>
      <c r="J81" s="29"/>
      <c r="K81" s="29"/>
      <c r="L81" s="29"/>
      <c r="M81" s="29"/>
      <c r="N81" s="29"/>
      <c r="O81" s="29"/>
      <c r="P81" s="29"/>
      <c r="Q81" s="28"/>
      <c r="R81" s="36">
        <f t="shared" ref="R81:Y81" si="66">SUM(R59:R80)</f>
        <v>4712.2099999999991</v>
      </c>
      <c r="S81" s="36">
        <f t="shared" si="66"/>
        <v>3508.4900000000002</v>
      </c>
      <c r="T81" s="36">
        <f t="shared" si="66"/>
        <v>724.78000000000009</v>
      </c>
      <c r="U81" s="36">
        <f t="shared" si="66"/>
        <v>2674.1500000000015</v>
      </c>
      <c r="V81" s="36">
        <f t="shared" si="66"/>
        <v>97854.190000000031</v>
      </c>
      <c r="W81" s="36">
        <f t="shared" si="66"/>
        <v>109473.82</v>
      </c>
      <c r="X81" s="36">
        <f t="shared" si="66"/>
        <v>21894.77</v>
      </c>
      <c r="Y81" s="36">
        <f t="shared" si="66"/>
        <v>131368.59</v>
      </c>
      <c r="AA81" s="18">
        <f>SUM(AA59:AA80)</f>
        <v>-54208.380000000005</v>
      </c>
      <c r="AB81" s="19"/>
      <c r="AC81" s="36">
        <f t="shared" ref="AC81" si="67">SUM(AC59:AC80)</f>
        <v>270978.53999999998</v>
      </c>
    </row>
    <row r="82" spans="2:29">
      <c r="AA82" s="16">
        <f>+AA55+AA81</f>
        <v>60865.319999999963</v>
      </c>
      <c r="AB82" s="16"/>
      <c r="AC82" s="17"/>
    </row>
    <row r="83" spans="2:29">
      <c r="AC83" s="17">
        <f>+AC81*1.2</f>
        <v>325174.24799999996</v>
      </c>
    </row>
    <row r="84" spans="2:29">
      <c r="AA84" s="39">
        <f>AA82-AA85-AA88-AA89-AA90-AA91-AA92-AA93-AA94-AA95</f>
        <v>-1716.1100000000406</v>
      </c>
      <c r="AC84" s="17"/>
    </row>
    <row r="85" spans="2:29">
      <c r="Y85" s="7" t="s">
        <v>166</v>
      </c>
      <c r="Z85" s="8" t="s">
        <v>167</v>
      </c>
      <c r="AA85" s="16">
        <f>SUM(AA4:AA10)+SUM(AA60:AA66)+G10</f>
        <v>18085.029999999995</v>
      </c>
      <c r="AC85" s="17"/>
    </row>
    <row r="86" spans="2:29">
      <c r="Z86" s="38" t="s">
        <v>168</v>
      </c>
      <c r="AA86" s="16">
        <f>+AA11+AA67</f>
        <v>-3465.5800000000008</v>
      </c>
      <c r="AC86" s="17"/>
    </row>
    <row r="87" spans="2:29">
      <c r="Z87" s="38" t="s">
        <v>169</v>
      </c>
      <c r="AA87" s="16">
        <f>+AA3+AA59-G10</f>
        <v>917.26000000000022</v>
      </c>
      <c r="AC87" s="17"/>
    </row>
    <row r="88" spans="2:29">
      <c r="Y88" s="7" t="s">
        <v>170</v>
      </c>
      <c r="Z88" s="8" t="s">
        <v>171</v>
      </c>
      <c r="AA88" s="16">
        <f>+AA86+AA87</f>
        <v>-2548.3200000000006</v>
      </c>
      <c r="AC88" s="17"/>
    </row>
    <row r="89" spans="2:29">
      <c r="Y89" s="7" t="s">
        <v>172</v>
      </c>
      <c r="Z89" s="8" t="s">
        <v>173</v>
      </c>
      <c r="AA89" s="16">
        <f>+AA68+AA12</f>
        <v>-1379.7299999999991</v>
      </c>
      <c r="AC89" s="17"/>
    </row>
    <row r="90" spans="2:29">
      <c r="Y90" s="7" t="s">
        <v>174</v>
      </c>
      <c r="Z90" s="8" t="s">
        <v>175</v>
      </c>
      <c r="AA90" s="16">
        <f>+AA69+AA13</f>
        <v>-5454.98</v>
      </c>
      <c r="AC90" s="17"/>
    </row>
    <row r="91" spans="2:29">
      <c r="Y91" s="7" t="s">
        <v>176</v>
      </c>
      <c r="Z91" s="8" t="s">
        <v>177</v>
      </c>
      <c r="AA91" s="16">
        <f>+AA70+AA14</f>
        <v>-349.42000000000053</v>
      </c>
      <c r="AC91" s="17"/>
    </row>
    <row r="92" spans="2:29">
      <c r="W92" s="7" t="s">
        <v>178</v>
      </c>
      <c r="Y92" s="7" t="s">
        <v>179</v>
      </c>
      <c r="Z92" s="8" t="s">
        <v>180</v>
      </c>
      <c r="AA92" s="16">
        <f>+AA71+AA15</f>
        <v>4457.75</v>
      </c>
      <c r="AC92" s="17"/>
    </row>
    <row r="93" spans="2:29">
      <c r="Y93" s="7" t="s">
        <v>181</v>
      </c>
      <c r="Z93" s="8" t="s">
        <v>182</v>
      </c>
      <c r="AA93" s="16">
        <f>+AA72+AA16+AA17+AA18</f>
        <v>13831.120000000003</v>
      </c>
      <c r="AC93" s="17"/>
    </row>
    <row r="94" spans="2:29">
      <c r="Y94" s="7" t="s">
        <v>183</v>
      </c>
      <c r="Z94" s="8" t="s">
        <v>184</v>
      </c>
      <c r="AA94" s="16">
        <f>+AA73+AA19</f>
        <v>10635.14</v>
      </c>
      <c r="AC94" s="17"/>
    </row>
    <row r="95" spans="2:29">
      <c r="Y95" s="7" t="s">
        <v>185</v>
      </c>
      <c r="Z95" s="8" t="s">
        <v>186</v>
      </c>
      <c r="AA95" s="16">
        <f>+AA74+AA48</f>
        <v>25304.84</v>
      </c>
      <c r="AC95" s="17"/>
    </row>
    <row r="96" spans="2:29">
      <c r="Y96" s="7" t="s">
        <v>187</v>
      </c>
      <c r="Z96" s="8" t="s">
        <v>188</v>
      </c>
      <c r="AA96" s="16">
        <f>+AA75+AA49</f>
        <v>-1716.1100000000001</v>
      </c>
    </row>
    <row r="97" spans="25:27">
      <c r="Y97" s="7" t="s">
        <v>189</v>
      </c>
      <c r="Z97" s="8" t="s">
        <v>190</v>
      </c>
      <c r="AA97" s="16">
        <f t="shared" ref="AA97:AA98" si="68">+AA76+AA50</f>
        <v>0</v>
      </c>
    </row>
    <row r="98" spans="25:27">
      <c r="Y98" s="7" t="s">
        <v>191</v>
      </c>
      <c r="Z98" s="8" t="s">
        <v>192</v>
      </c>
      <c r="AA98" s="16">
        <f t="shared" si="68"/>
        <v>0</v>
      </c>
    </row>
  </sheetData>
  <mergeCells count="7">
    <mergeCell ref="AD16:AD17"/>
    <mergeCell ref="C1:H1"/>
    <mergeCell ref="I1:Q1"/>
    <mergeCell ref="R1:Z1"/>
    <mergeCell ref="C57:H57"/>
    <mergeCell ref="I57:Q57"/>
    <mergeCell ref="R57:Z57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5BE4D90CB7C54B917ABFDAB13FB06A" ma:contentTypeVersion="21" ma:contentTypeDescription="Create a new document." ma:contentTypeScope="" ma:versionID="9ca5fb149701e5e1ba1bff6159517fe6">
  <xsd:schema xmlns:xsd="http://www.w3.org/2001/XMLSchema" xmlns:xs="http://www.w3.org/2001/XMLSchema" xmlns:p="http://schemas.microsoft.com/office/2006/metadata/properties" xmlns:ns1="http://schemas.microsoft.com/sharepoint/v3" xmlns:ns2="1e3f5528-bff2-4618-9573-de256258a377" xmlns:ns3="a8250f88-f5e1-44db-9aa3-aae18b283528" targetNamespace="http://schemas.microsoft.com/office/2006/metadata/properties" ma:root="true" ma:fieldsID="c6e77115198e6fad9e935b29afc949c5" ns1:_="" ns2:_="" ns3:_="">
    <xsd:import namespace="http://schemas.microsoft.com/sharepoint/v3"/>
    <xsd:import namespace="1e3f5528-bff2-4618-9573-de256258a377"/>
    <xsd:import namespace="a8250f88-f5e1-44db-9aa3-aae18b283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ueDate" minOccurs="0"/>
                <xsd:element ref="ns2:Owner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3:_dlc_DocId" minOccurs="0"/>
                <xsd:element ref="ns3:_dlc_DocIdUrl" minOccurs="0"/>
                <xsd:element ref="ns3:_dlc_DocIdPersistId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f5528-bff2-4618-9573-de256258a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c364d68-a92a-4085-9a2e-90302fcbf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ueDate" ma:index="21" nillable="true" ma:displayName="DueDate" ma:format="DateOnly" ma:internalName="DueDate">
      <xsd:simpleType>
        <xsd:restriction base="dms:DateTime"/>
      </xsd:simpleType>
    </xsd:element>
    <xsd:element name="Owner" ma:index="22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format="Dropdown" ma:internalName="Sign_x002d_off_x0020_status">
      <xsd:simpleType>
        <xsd:restriction base="dms:Choice">
          <xsd:enumeration value="draft"/>
          <xsd:enumeration value="signed"/>
          <xsd:enumeration value="obsolete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50f88-f5e1-44db-9aa3-aae18b2835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71dcf9-e8cb-4793-bbfb-960b64ce57a0}" ma:internalName="TaxCatchAll" ma:showField="CatchAllData" ma:web="a8250f88-f5e1-44db-9aa3-aae18b283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3f5528-bff2-4618-9573-de256258a377">
      <Terms xmlns="http://schemas.microsoft.com/office/infopath/2007/PartnerControls"/>
    </lcf76f155ced4ddcb4097134ff3c332f>
    <Owner xmlns="1e3f5528-bff2-4618-9573-de256258a377">
      <UserInfo>
        <DisplayName/>
        <AccountId xsi:nil="true"/>
        <AccountType/>
      </UserInfo>
    </Owner>
    <DueDate xmlns="1e3f5528-bff2-4618-9573-de256258a377" xsi:nil="true"/>
    <TaxCatchAll xmlns="a8250f88-f5e1-44db-9aa3-aae18b283528" xsi:nil="true"/>
    <_Flow_SignoffStatus xmlns="1e3f5528-bff2-4618-9573-de256258a377" xsi:nil="true"/>
    <_dlc_DocId xmlns="a8250f88-f5e1-44db-9aa3-aae18b283528">TVDWMTSH4Y4W-503130534-1873707</_dlc_DocId>
    <_dlc_DocIdUrl xmlns="a8250f88-f5e1-44db-9aa3-aae18b283528">
      <Url>https://ampyrsolareurope.sharepoint.com/sites/ASECentral/_layouts/15/DocIdRedir.aspx?ID=TVDWMTSH4Y4W-503130534-1873707</Url>
      <Description>TVDWMTSH4Y4W-503130534-1873707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7DC1A-0679-415F-BFB7-8E295D59E36D}"/>
</file>

<file path=customXml/itemProps2.xml><?xml version="1.0" encoding="utf-8"?>
<ds:datastoreItem xmlns:ds="http://schemas.openxmlformats.org/officeDocument/2006/customXml" ds:itemID="{8014D5FC-818C-41EF-808E-7F0C2B65A649}"/>
</file>

<file path=customXml/itemProps3.xml><?xml version="1.0" encoding="utf-8"?>
<ds:datastoreItem xmlns:ds="http://schemas.openxmlformats.org/officeDocument/2006/customXml" ds:itemID="{7C42C5CE-177F-4E41-8D29-45B38B330E8D}"/>
</file>

<file path=customXml/itemProps4.xml><?xml version="1.0" encoding="utf-8"?>
<ds:datastoreItem xmlns:ds="http://schemas.openxmlformats.org/officeDocument/2006/customXml" ds:itemID="{C74040F1-83FC-48DE-99AD-DB242C486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Tinvia Su</dc:creator>
  <cp:keywords/>
  <dc:description/>
  <cp:lastModifiedBy>Tinvia Su</cp:lastModifiedBy>
  <cp:revision/>
  <dcterms:created xsi:type="dcterms:W3CDTF">2025-07-17T12:52:55Z</dcterms:created>
  <dcterms:modified xsi:type="dcterms:W3CDTF">2026-08-17T09:01:58Z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0x010100B55BE4D90CB7C54B917ABFDAB13FB06A</vt:lpwstr>
  </property>
  <property fmtid="{D5CDD505-2E9C-101B-9397-08002B2CF9AE}" pid="3" name="MediaServiceImageTags">
    <vt:lpwstr/>
  </property>
  <property fmtid="{D5CDD505-2E9C-101B-9397-08002B2CF9AE}" pid="4" name="_dlc_DocIdItemGuid">
    <vt:lpwstr>874cca79-8e49-4ec4-835a-89942bc836a9</vt:lpwstr>
  </property>
</Properties>
</file>